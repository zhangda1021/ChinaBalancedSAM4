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270" windowWidth="10710" windowHeight="7050"/>
  </bookViews>
  <sheets>
    <sheet name="COAL" sheetId="1" r:id="rId1"/>
    <sheet name="OIL" sheetId="2" r:id="rId2"/>
    <sheet name="ROIL" sheetId="4" r:id="rId3"/>
    <sheet name="NG" sheetId="3" r:id="rId4"/>
    <sheet name="ELEH" sheetId="6" r:id="rId5"/>
    <sheet name="OTHE" sheetId="7" r:id="rId6"/>
    <sheet name="CONVERSION" sheetId="8" r:id="rId7"/>
  </sheets>
  <calcPr calcId="145621"/>
</workbook>
</file>

<file path=xl/calcChain.xml><?xml version="1.0" encoding="utf-8"?>
<calcChain xmlns="http://schemas.openxmlformats.org/spreadsheetml/2006/main">
  <c r="V3" i="3" l="1"/>
  <c r="W3" i="3"/>
  <c r="V4" i="3"/>
  <c r="W4" i="3"/>
  <c r="V5" i="3"/>
  <c r="W5" i="3"/>
  <c r="V6" i="3"/>
  <c r="W6" i="3"/>
  <c r="V7" i="3"/>
  <c r="W7" i="3"/>
  <c r="V8" i="3"/>
  <c r="W8" i="3"/>
  <c r="V9" i="3"/>
  <c r="W9" i="3"/>
  <c r="V10" i="3"/>
  <c r="W10" i="3"/>
  <c r="V11" i="3"/>
  <c r="W11" i="3"/>
  <c r="V12" i="3"/>
  <c r="W12" i="3"/>
  <c r="V13" i="3"/>
  <c r="W13" i="3"/>
  <c r="V14" i="3"/>
  <c r="W14" i="3"/>
  <c r="V15" i="3"/>
  <c r="W15" i="3"/>
  <c r="V16" i="3"/>
  <c r="W16" i="3"/>
  <c r="V17" i="3"/>
  <c r="W17" i="3"/>
  <c r="V18" i="3"/>
  <c r="W18" i="3"/>
  <c r="V19" i="3"/>
  <c r="W19" i="3"/>
  <c r="V20" i="3"/>
  <c r="W20" i="3"/>
  <c r="V21" i="3"/>
  <c r="W21" i="3"/>
  <c r="V22" i="3"/>
  <c r="W22" i="3"/>
  <c r="V23" i="3"/>
  <c r="W23" i="3"/>
  <c r="V24" i="3"/>
  <c r="W24" i="3"/>
  <c r="V25" i="3"/>
  <c r="W25" i="3"/>
  <c r="V26" i="3"/>
  <c r="W26" i="3"/>
  <c r="V27" i="3"/>
  <c r="W27" i="3"/>
  <c r="V28" i="3"/>
  <c r="W28" i="3"/>
  <c r="V29" i="3"/>
  <c r="W29" i="3"/>
  <c r="V30" i="3"/>
  <c r="W30" i="3"/>
  <c r="V31" i="3"/>
  <c r="W31" i="3"/>
  <c r="C32" i="7" l="1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B32" i="7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B32" i="6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B32" i="3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B32" i="4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B32" i="2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B32" i="1"/>
  <c r="V3" i="6" l="1"/>
  <c r="W3" i="6"/>
  <c r="V4" i="6"/>
  <c r="W4" i="6"/>
  <c r="V5" i="6"/>
  <c r="W5" i="6"/>
  <c r="V6" i="6"/>
  <c r="W6" i="6"/>
  <c r="V7" i="6"/>
  <c r="W7" i="6"/>
  <c r="V8" i="6"/>
  <c r="W8" i="6"/>
  <c r="V9" i="6"/>
  <c r="W9" i="6"/>
  <c r="V10" i="6"/>
  <c r="W10" i="6"/>
  <c r="V11" i="6"/>
  <c r="W11" i="6"/>
  <c r="V12" i="6"/>
  <c r="W12" i="6"/>
  <c r="V13" i="6"/>
  <c r="W13" i="6"/>
  <c r="V14" i="6"/>
  <c r="W14" i="6"/>
  <c r="V15" i="6"/>
  <c r="W15" i="6"/>
  <c r="V16" i="6"/>
  <c r="W16" i="6"/>
  <c r="V17" i="6"/>
  <c r="W17" i="6"/>
  <c r="V18" i="6"/>
  <c r="W18" i="6"/>
  <c r="V19" i="6"/>
  <c r="W19" i="6"/>
  <c r="V20" i="6"/>
  <c r="W20" i="6"/>
  <c r="V21" i="6"/>
  <c r="W21" i="6"/>
  <c r="V22" i="6"/>
  <c r="W22" i="6"/>
  <c r="V23" i="6"/>
  <c r="W23" i="6"/>
  <c r="V24" i="6"/>
  <c r="W24" i="6"/>
  <c r="V25" i="6"/>
  <c r="W25" i="6"/>
  <c r="V26" i="6"/>
  <c r="W26" i="6"/>
  <c r="X26" i="6" s="1"/>
  <c r="V27" i="6"/>
  <c r="W27" i="6"/>
  <c r="V28" i="6"/>
  <c r="W28" i="6"/>
  <c r="V29" i="6"/>
  <c r="W29" i="6"/>
  <c r="V30" i="6"/>
  <c r="W30" i="6"/>
  <c r="V31" i="6"/>
  <c r="W31" i="6"/>
  <c r="W2" i="6"/>
  <c r="V2" i="6"/>
  <c r="V3" i="7"/>
  <c r="W3" i="7"/>
  <c r="X3" i="7" s="1"/>
  <c r="V4" i="7"/>
  <c r="W4" i="7"/>
  <c r="V5" i="7"/>
  <c r="W5" i="7"/>
  <c r="V6" i="7"/>
  <c r="W6" i="7"/>
  <c r="V7" i="7"/>
  <c r="W7" i="7"/>
  <c r="X7" i="7" s="1"/>
  <c r="V8" i="7"/>
  <c r="W8" i="7"/>
  <c r="V9" i="7"/>
  <c r="W9" i="7"/>
  <c r="X9" i="7" s="1"/>
  <c r="V10" i="7"/>
  <c r="W10" i="7"/>
  <c r="V11" i="7"/>
  <c r="W11" i="7"/>
  <c r="V12" i="7"/>
  <c r="W12" i="7"/>
  <c r="V13" i="7"/>
  <c r="W13" i="7"/>
  <c r="V14" i="7"/>
  <c r="W14" i="7"/>
  <c r="V15" i="7"/>
  <c r="W15" i="7"/>
  <c r="X15" i="7" s="1"/>
  <c r="V16" i="7"/>
  <c r="W16" i="7"/>
  <c r="V17" i="7"/>
  <c r="W17" i="7"/>
  <c r="V18" i="7"/>
  <c r="W18" i="7"/>
  <c r="V19" i="7"/>
  <c r="W19" i="7"/>
  <c r="X19" i="7" s="1"/>
  <c r="V20" i="7"/>
  <c r="W20" i="7"/>
  <c r="V21" i="7"/>
  <c r="W21" i="7"/>
  <c r="X21" i="7" s="1"/>
  <c r="V22" i="7"/>
  <c r="W22" i="7"/>
  <c r="V23" i="7"/>
  <c r="W23" i="7"/>
  <c r="X23" i="7" s="1"/>
  <c r="V24" i="7"/>
  <c r="W24" i="7"/>
  <c r="V25" i="7"/>
  <c r="W25" i="7"/>
  <c r="X25" i="7" s="1"/>
  <c r="V26" i="7"/>
  <c r="W26" i="7"/>
  <c r="V27" i="7"/>
  <c r="W27" i="7"/>
  <c r="X27" i="7" s="1"/>
  <c r="V28" i="7"/>
  <c r="W28" i="7"/>
  <c r="V29" i="7"/>
  <c r="W29" i="7"/>
  <c r="X29" i="7" s="1"/>
  <c r="V30" i="7"/>
  <c r="W30" i="7"/>
  <c r="V31" i="7"/>
  <c r="W31" i="7"/>
  <c r="X31" i="7" s="1"/>
  <c r="W2" i="7"/>
  <c r="V2" i="7"/>
  <c r="W2" i="3"/>
  <c r="V2" i="3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2" i="4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2" i="4"/>
  <c r="V3" i="2"/>
  <c r="W3" i="2"/>
  <c r="V4" i="2"/>
  <c r="W4" i="2"/>
  <c r="V5" i="2"/>
  <c r="W5" i="2"/>
  <c r="X5" i="2" s="1"/>
  <c r="V6" i="2"/>
  <c r="W6" i="2"/>
  <c r="V7" i="2"/>
  <c r="W7" i="2"/>
  <c r="V8" i="2"/>
  <c r="W8" i="2"/>
  <c r="V9" i="2"/>
  <c r="W9" i="2"/>
  <c r="V10" i="2"/>
  <c r="W10" i="2"/>
  <c r="V11" i="2"/>
  <c r="W11" i="2"/>
  <c r="V12" i="2"/>
  <c r="W12" i="2"/>
  <c r="V13" i="2"/>
  <c r="W13" i="2"/>
  <c r="V14" i="2"/>
  <c r="W14" i="2"/>
  <c r="V15" i="2"/>
  <c r="W15" i="2"/>
  <c r="V16" i="2"/>
  <c r="W16" i="2"/>
  <c r="V17" i="2"/>
  <c r="W17" i="2"/>
  <c r="V18" i="2"/>
  <c r="W18" i="2"/>
  <c r="V19" i="2"/>
  <c r="W19" i="2"/>
  <c r="V20" i="2"/>
  <c r="W20" i="2"/>
  <c r="V21" i="2"/>
  <c r="W21" i="2"/>
  <c r="V22" i="2"/>
  <c r="W22" i="2"/>
  <c r="V23" i="2"/>
  <c r="W23" i="2"/>
  <c r="V24" i="2"/>
  <c r="W24" i="2"/>
  <c r="V25" i="2"/>
  <c r="W25" i="2"/>
  <c r="V26" i="2"/>
  <c r="W26" i="2"/>
  <c r="V27" i="2"/>
  <c r="W27" i="2"/>
  <c r="V28" i="2"/>
  <c r="W28" i="2"/>
  <c r="V29" i="2"/>
  <c r="W29" i="2"/>
  <c r="V30" i="2"/>
  <c r="W30" i="2"/>
  <c r="V31" i="2"/>
  <c r="W31" i="2"/>
  <c r="W2" i="2"/>
  <c r="V2" i="2"/>
  <c r="V3" i="1"/>
  <c r="W3" i="1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W2" i="1"/>
  <c r="X29" i="6" l="1"/>
  <c r="X25" i="6"/>
  <c r="X21" i="6"/>
  <c r="X17" i="6"/>
  <c r="X13" i="6"/>
  <c r="X9" i="6"/>
  <c r="X8" i="6"/>
  <c r="X5" i="6"/>
  <c r="V32" i="6"/>
  <c r="X30" i="7"/>
  <c r="X28" i="7"/>
  <c r="X26" i="7"/>
  <c r="X24" i="7"/>
  <c r="X22" i="7"/>
  <c r="X20" i="7"/>
  <c r="X18" i="7"/>
  <c r="X17" i="7"/>
  <c r="X16" i="7"/>
  <c r="X14" i="7"/>
  <c r="X13" i="7"/>
  <c r="X12" i="7"/>
  <c r="X11" i="7"/>
  <c r="X10" i="7"/>
  <c r="X8" i="7"/>
  <c r="X6" i="7"/>
  <c r="X5" i="7"/>
  <c r="X4" i="7"/>
  <c r="X2" i="7"/>
  <c r="X31" i="6"/>
  <c r="X30" i="6"/>
  <c r="X28" i="6"/>
  <c r="X27" i="6"/>
  <c r="X24" i="6"/>
  <c r="X23" i="6"/>
  <c r="X22" i="6"/>
  <c r="X20" i="6"/>
  <c r="X19" i="6"/>
  <c r="X18" i="6"/>
  <c r="X16" i="6"/>
  <c r="X15" i="6"/>
  <c r="X14" i="6"/>
  <c r="X12" i="6"/>
  <c r="X11" i="6"/>
  <c r="X10" i="6"/>
  <c r="X7" i="6"/>
  <c r="X6" i="6"/>
  <c r="X4" i="6"/>
  <c r="X3" i="6"/>
  <c r="X2" i="6"/>
  <c r="X9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8" i="3"/>
  <c r="X7" i="3"/>
  <c r="X6" i="3"/>
  <c r="X5" i="3"/>
  <c r="X4" i="3"/>
  <c r="X3" i="3"/>
  <c r="X2" i="3"/>
  <c r="X31" i="2"/>
  <c r="X19" i="2"/>
  <c r="X11" i="2"/>
  <c r="X9" i="2"/>
  <c r="X30" i="2"/>
  <c r="X13" i="2"/>
  <c r="X31" i="4"/>
  <c r="X18" i="4"/>
  <c r="X17" i="4"/>
  <c r="X11" i="4"/>
  <c r="X30" i="4"/>
  <c r="X29" i="4"/>
  <c r="X28" i="4"/>
  <c r="X27" i="4"/>
  <c r="X26" i="4"/>
  <c r="X25" i="4"/>
  <c r="X24" i="4"/>
  <c r="X23" i="4"/>
  <c r="X22" i="4"/>
  <c r="X21" i="4"/>
  <c r="X20" i="4"/>
  <c r="X19" i="4"/>
  <c r="X16" i="4"/>
  <c r="X15" i="4"/>
  <c r="X14" i="4"/>
  <c r="X13" i="4"/>
  <c r="X12" i="4"/>
  <c r="X10" i="4"/>
  <c r="X9" i="4"/>
  <c r="X8" i="4"/>
  <c r="X7" i="4"/>
  <c r="X6" i="4"/>
  <c r="X5" i="4"/>
  <c r="X4" i="4"/>
  <c r="X3" i="4"/>
  <c r="X2" i="4"/>
  <c r="X29" i="2"/>
  <c r="X28" i="2"/>
  <c r="X27" i="2"/>
  <c r="X26" i="2"/>
  <c r="X25" i="2"/>
  <c r="X24" i="2"/>
  <c r="X23" i="2"/>
  <c r="X22" i="2"/>
  <c r="X21" i="2"/>
  <c r="X20" i="2"/>
  <c r="X18" i="2"/>
  <c r="X17" i="2"/>
  <c r="X16" i="2"/>
  <c r="X15" i="2"/>
  <c r="X14" i="2"/>
  <c r="X12" i="2"/>
  <c r="X10" i="2"/>
  <c r="X8" i="2"/>
  <c r="X7" i="2"/>
  <c r="X6" i="2"/>
  <c r="X4" i="2"/>
  <c r="X3" i="2"/>
  <c r="X2" i="2"/>
  <c r="X19" i="1"/>
  <c r="X26" i="1"/>
  <c r="X14" i="1"/>
  <c r="X10" i="1"/>
  <c r="X31" i="1"/>
  <c r="X30" i="1"/>
  <c r="X29" i="1"/>
  <c r="X28" i="1"/>
  <c r="X27" i="1"/>
  <c r="X25" i="1"/>
  <c r="X24" i="1"/>
  <c r="X23" i="1"/>
  <c r="X22" i="1"/>
  <c r="X21" i="1"/>
  <c r="X20" i="1"/>
  <c r="X18" i="1"/>
  <c r="X17" i="1"/>
  <c r="X16" i="1"/>
  <c r="X15" i="1"/>
  <c r="X13" i="1"/>
  <c r="X12" i="1"/>
  <c r="X11" i="1"/>
  <c r="X9" i="1"/>
  <c r="X8" i="1"/>
  <c r="X7" i="1"/>
  <c r="X6" i="1"/>
  <c r="X5" i="1"/>
  <c r="X4" i="1"/>
  <c r="X3" i="1"/>
  <c r="V2" i="1"/>
  <c r="D6" i="8"/>
  <c r="D7" i="8"/>
  <c r="D8" i="8"/>
  <c r="D9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5" i="8"/>
  <c r="X2" i="1" l="1"/>
  <c r="V32" i="1"/>
</calcChain>
</file>

<file path=xl/sharedStrings.xml><?xml version="1.0" encoding="utf-8"?>
<sst xmlns="http://schemas.openxmlformats.org/spreadsheetml/2006/main" count="434" uniqueCount="190">
  <si>
    <t>PROD</t>
  </si>
  <si>
    <t>DX</t>
  </si>
  <si>
    <t>X</t>
  </si>
  <si>
    <t>RC</t>
  </si>
  <si>
    <t>DRC</t>
  </si>
  <si>
    <t>AGR</t>
  </si>
  <si>
    <t>IND</t>
  </si>
  <si>
    <t>CON</t>
  </si>
  <si>
    <t>OTH</t>
  </si>
  <si>
    <t>FU</t>
  </si>
  <si>
    <t>WRHR</t>
  </si>
  <si>
    <t>UNIT: 10000 TCE</t>
  </si>
  <si>
    <t>各种能源折标准煤参考系数</t>
  </si>
  <si>
    <t>能 源 名 称</t>
  </si>
  <si>
    <t>平 均 低 位 发 热 量</t>
  </si>
  <si>
    <t>折 标 准 煤 系 数</t>
  </si>
  <si>
    <t>原煤</t>
  </si>
  <si>
    <t>其它洗煤</t>
  </si>
  <si>
    <t xml:space="preserve">  洗 中 煤</t>
  </si>
  <si>
    <t xml:space="preserve">  煤 泥</t>
  </si>
  <si>
    <t>焦 炭</t>
  </si>
  <si>
    <t>原 油</t>
  </si>
  <si>
    <t>汽 油</t>
  </si>
  <si>
    <t>煤 油</t>
  </si>
  <si>
    <t>柴 油</t>
  </si>
  <si>
    <t>液化石油气</t>
  </si>
  <si>
    <t>炼厂干气</t>
  </si>
  <si>
    <t>焦炉煤气</t>
  </si>
  <si>
    <t>其它煤气</t>
  </si>
  <si>
    <t xml:space="preserve"> 重油催化裂解煤气</t>
  </si>
  <si>
    <t xml:space="preserve"> 重油热裂解煤气</t>
  </si>
  <si>
    <t xml:space="preserve"> 压 力 气 化 煤 气</t>
  </si>
  <si>
    <t xml:space="preserve"> 水煤气</t>
  </si>
  <si>
    <t>煤焦油</t>
  </si>
  <si>
    <t>粗苯</t>
  </si>
  <si>
    <t>生物质能</t>
  </si>
  <si>
    <t xml:space="preserve">   人粪</t>
  </si>
  <si>
    <t xml:space="preserve">   牛粪</t>
  </si>
  <si>
    <t xml:space="preserve">   猪粪</t>
  </si>
  <si>
    <t xml:space="preserve">  羊、驴、马、骡粪</t>
  </si>
  <si>
    <t xml:space="preserve">   鸡粪</t>
  </si>
  <si>
    <t xml:space="preserve">  大豆秆、 棉花秆</t>
  </si>
  <si>
    <t xml:space="preserve">   稻秆</t>
  </si>
  <si>
    <t xml:space="preserve">   麦秆</t>
  </si>
  <si>
    <t xml:space="preserve">   玉  米  秆</t>
  </si>
  <si>
    <t xml:space="preserve">   杂草</t>
  </si>
  <si>
    <t xml:space="preserve">   树叶</t>
  </si>
  <si>
    <t xml:space="preserve">   薪柴</t>
  </si>
  <si>
    <t xml:space="preserve">   沼气</t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</si>
  <si>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</si>
  <si>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</si>
  <si>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洗 精 煤</t>
    <phoneticPr fontId="0" type="noConversion"/>
  </si>
  <si>
    <r>
      <t xml:space="preserve">26 344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</si>
  <si>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0.9000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</si>
  <si>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8 363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</si>
  <si>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0.2857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</si>
  <si>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>8 363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3 000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千克</t>
    </r>
  </si>
  <si>
    <r>
      <t>0.2857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</si>
  <si>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28 435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(6 800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</si>
  <si>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0.9714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</si>
  <si>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41 816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</si>
  <si>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</si>
  <si>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燃 料 油</t>
    <phoneticPr fontId="0" type="noConversion"/>
  </si>
  <si>
    <r>
      <t xml:space="preserve">43 070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</si>
  <si>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</si>
  <si>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42 652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(10 200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</si>
  <si>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1.4571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</si>
  <si>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50 179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(12 000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</si>
  <si>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1.7143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</si>
  <si>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46055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(11 000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</si>
  <si>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1.5714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</si>
  <si>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天 然 气</t>
    <phoneticPr fontId="0" type="noConversion"/>
  </si>
  <si>
    <r>
      <t>38 931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(9 310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</si>
  <si>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1.3300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</si>
  <si>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r>
      <t>16 726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17 981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>/ (4 000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>4 300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)/ </t>
    </r>
    <r>
      <rPr>
        <sz val="10"/>
        <rFont val="宋体"/>
        <family val="3"/>
        <charset val="134"/>
      </rPr>
      <t>立方米</t>
    </r>
  </si>
  <si>
    <r>
      <t>0.5714</t>
    </r>
    <r>
      <rPr>
        <sz val="10"/>
        <rFont val="宋体"/>
        <family val="3"/>
        <charset val="134"/>
      </rPr>
      <t>～</t>
    </r>
    <r>
      <rPr>
        <sz val="10"/>
        <rFont val="Arial"/>
        <family val="2"/>
      </rPr>
      <t xml:space="preserve">0.6143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</si>
  <si>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 xml:space="preserve"> 发 生 炉 煤 气</t>
    <phoneticPr fontId="0" type="noConversion"/>
  </si>
  <si>
    <r>
      <t xml:space="preserve">5 227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(1 250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</si>
  <si>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0.1786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</si>
  <si>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r>
      <t xml:space="preserve">19 235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</si>
  <si>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0.6571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</si>
  <si>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r>
      <t xml:space="preserve">35 544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</si>
  <si>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1.2143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</si>
  <si>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 xml:space="preserve"> 焦炭制气</t>
    <phoneticPr fontId="0" type="noConversion"/>
  </si>
  <si>
    <r>
      <t xml:space="preserve">16 308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(3 900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</si>
  <si>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</si>
  <si>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r>
      <t xml:space="preserve">15 054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(3 600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</si>
  <si>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0.5143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</si>
  <si>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r>
      <t xml:space="preserve">10 454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(2 500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</si>
  <si>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0.3571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</si>
  <si>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r>
      <t xml:space="preserve">33 453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</si>
  <si>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1.1429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</si>
  <si>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t>热力(当量)</t>
    <phoneticPr fontId="0" type="noConversion"/>
  </si>
  <si>
    <r>
      <t xml:space="preserve">0.03412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百万焦耳</t>
    </r>
  </si>
  <si>
    <r>
      <t xml:space="preserve">(0.14286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1000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>)</t>
    </r>
  </si>
  <si>
    <t>电力(当量)</t>
    <phoneticPr fontId="0" type="noConversion"/>
  </si>
  <si>
    <r>
      <t xml:space="preserve">3 596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(860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千瓦小时</t>
    </r>
  </si>
  <si>
    <r>
      <t xml:space="preserve">0.1229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千瓦小时</t>
    </r>
  </si>
  <si>
    <t xml:space="preserve">    (等价)</t>
    <phoneticPr fontId="0" type="noConversion"/>
  </si>
  <si>
    <r>
      <t>按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当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年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火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发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电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标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准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煤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耗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计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算</t>
    </r>
  </si>
  <si>
    <r>
      <t xml:space="preserve">18 817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</si>
  <si>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0.643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</si>
  <si>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13 799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(3 300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</si>
  <si>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</si>
  <si>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12 545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</si>
  <si>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0.429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</si>
  <si>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15 472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(3 700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</si>
  <si>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0.529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</si>
  <si>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15 890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(3 800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</si>
  <si>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0.543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</si>
  <si>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14 635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(3 500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</si>
  <si>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0.500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</si>
  <si>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16 726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(4 000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千克</t>
    </r>
  </si>
  <si>
    <r>
      <t xml:space="preserve">0.571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千克</t>
    </r>
  </si>
  <si>
    <r>
      <t xml:space="preserve">20 908 </t>
    </r>
    <r>
      <rPr>
        <sz val="10"/>
        <rFont val="宋体"/>
        <family val="3"/>
        <charset val="134"/>
      </rPr>
      <t>千焦</t>
    </r>
    <r>
      <rPr>
        <sz val="10"/>
        <rFont val="Arial"/>
        <family val="2"/>
      </rPr>
      <t xml:space="preserve"> / (5 000 </t>
    </r>
    <r>
      <rPr>
        <sz val="10"/>
        <rFont val="宋体"/>
        <family val="3"/>
        <charset val="134"/>
      </rPr>
      <t>千卡</t>
    </r>
    <r>
      <rPr>
        <sz val="10"/>
        <rFont val="Arial"/>
        <family val="2"/>
      </rPr>
      <t xml:space="preserve">) / </t>
    </r>
    <r>
      <rPr>
        <sz val="10"/>
        <rFont val="宋体"/>
        <family val="3"/>
        <charset val="134"/>
      </rPr>
      <t>立方米</t>
    </r>
  </si>
  <si>
    <r>
      <t xml:space="preserve">0.714 </t>
    </r>
    <r>
      <rPr>
        <sz val="10"/>
        <rFont val="宋体"/>
        <family val="3"/>
        <charset val="134"/>
      </rPr>
      <t>千克标准煤</t>
    </r>
    <r>
      <rPr>
        <sz val="10"/>
        <rFont val="Arial"/>
        <family val="2"/>
      </rPr>
      <t xml:space="preserve"> / </t>
    </r>
    <r>
      <rPr>
        <sz val="10"/>
        <rFont val="宋体"/>
        <family val="3"/>
        <charset val="134"/>
      </rPr>
      <t>立方米</t>
    </r>
  </si>
  <si>
    <t/>
  </si>
  <si>
    <t>型煤</t>
  </si>
  <si>
    <t>INV</t>
  </si>
  <si>
    <t>其他焦化产品</t>
  </si>
  <si>
    <t>其他石油产品</t>
  </si>
  <si>
    <t>0503/0502</t>
  </si>
  <si>
    <t>TR</t>
  </si>
  <si>
    <t>COALT</t>
  </si>
  <si>
    <t>FGT</t>
  </si>
  <si>
    <t>OILT</t>
  </si>
  <si>
    <t>ROILT</t>
  </si>
  <si>
    <t>NGT</t>
  </si>
  <si>
    <t>ELEHT</t>
  </si>
  <si>
    <t>OTHET</t>
  </si>
  <si>
    <t>BJ</t>
    <phoneticPr fontId="5" type="noConversion"/>
  </si>
  <si>
    <t>TJ</t>
    <phoneticPr fontId="5" type="noConversion"/>
  </si>
  <si>
    <t>HE</t>
    <phoneticPr fontId="5" type="noConversion"/>
  </si>
  <si>
    <t>SX</t>
    <phoneticPr fontId="5" type="noConversion"/>
  </si>
  <si>
    <t>NM</t>
    <phoneticPr fontId="5" type="noConversion"/>
  </si>
  <si>
    <t>LN</t>
    <phoneticPr fontId="5" type="noConversion"/>
  </si>
  <si>
    <t>JL</t>
    <phoneticPr fontId="5" type="noConversion"/>
  </si>
  <si>
    <t>HL</t>
    <phoneticPr fontId="5" type="noConversion"/>
  </si>
  <si>
    <t>SH</t>
    <phoneticPr fontId="5" type="noConversion"/>
  </si>
  <si>
    <t>JS</t>
    <phoneticPr fontId="5" type="noConversion"/>
  </si>
  <si>
    <t>ZJ</t>
    <phoneticPr fontId="5" type="noConversion"/>
  </si>
  <si>
    <t>AH</t>
    <phoneticPr fontId="5" type="noConversion"/>
  </si>
  <si>
    <t>FJ</t>
    <phoneticPr fontId="5" type="noConversion"/>
  </si>
  <si>
    <t>JX</t>
    <phoneticPr fontId="5" type="noConversion"/>
  </si>
  <si>
    <t>SD</t>
    <phoneticPr fontId="5" type="noConversion"/>
  </si>
  <si>
    <t>HA</t>
    <phoneticPr fontId="5" type="noConversion"/>
  </si>
  <si>
    <t>HB</t>
    <phoneticPr fontId="5" type="noConversion"/>
  </si>
  <si>
    <t>HN</t>
    <phoneticPr fontId="5" type="noConversion"/>
  </si>
  <si>
    <t>GD</t>
    <phoneticPr fontId="5" type="noConversion"/>
  </si>
  <si>
    <t>GX</t>
    <phoneticPr fontId="5" type="noConversion"/>
  </si>
  <si>
    <t>HI</t>
    <phoneticPr fontId="5" type="noConversion"/>
  </si>
  <si>
    <t>CQ</t>
    <phoneticPr fontId="5" type="noConversion"/>
  </si>
  <si>
    <t>SC</t>
    <phoneticPr fontId="5" type="noConversion"/>
  </si>
  <si>
    <t>GZ</t>
    <phoneticPr fontId="5" type="noConversion"/>
  </si>
  <si>
    <t>YN</t>
    <phoneticPr fontId="5" type="noConversion"/>
  </si>
  <si>
    <t>SN</t>
    <phoneticPr fontId="5" type="noConversion"/>
  </si>
  <si>
    <t>GS</t>
    <phoneticPr fontId="5" type="noConversion"/>
  </si>
  <si>
    <t>QH</t>
    <phoneticPr fontId="5" type="noConversion"/>
  </si>
  <si>
    <t>NX</t>
    <phoneticPr fontId="5" type="noConversion"/>
  </si>
  <si>
    <t>XJ</t>
    <phoneticPr fontId="5" type="noConversion"/>
  </si>
  <si>
    <t>BJ</t>
    <phoneticPr fontId="5" type="noConversion"/>
  </si>
  <si>
    <t>TJ</t>
    <phoneticPr fontId="5" type="noConversion"/>
  </si>
  <si>
    <t>HE</t>
    <phoneticPr fontId="5" type="noConversion"/>
  </si>
  <si>
    <t>SX</t>
    <phoneticPr fontId="5" type="noConversion"/>
  </si>
  <si>
    <t>NM</t>
    <phoneticPr fontId="5" type="noConversion"/>
  </si>
  <si>
    <t>LN</t>
    <phoneticPr fontId="5" type="noConversion"/>
  </si>
  <si>
    <t>JL</t>
    <phoneticPr fontId="5" type="noConversion"/>
  </si>
  <si>
    <t>HL</t>
    <phoneticPr fontId="5" type="noConversion"/>
  </si>
  <si>
    <t>SH</t>
    <phoneticPr fontId="5" type="noConversion"/>
  </si>
  <si>
    <t>JS</t>
    <phoneticPr fontId="5" type="noConversion"/>
  </si>
  <si>
    <t>ZJ</t>
    <phoneticPr fontId="5" type="noConversion"/>
  </si>
  <si>
    <t>AH</t>
    <phoneticPr fontId="5" type="noConversion"/>
  </si>
  <si>
    <t>FJ</t>
    <phoneticPr fontId="5" type="noConversion"/>
  </si>
  <si>
    <t>JX</t>
    <phoneticPr fontId="5" type="noConversion"/>
  </si>
  <si>
    <t>SD</t>
    <phoneticPr fontId="5" type="noConversion"/>
  </si>
  <si>
    <t>HA</t>
    <phoneticPr fontId="5" type="noConversion"/>
  </si>
  <si>
    <t>HB</t>
    <phoneticPr fontId="5" type="noConversion"/>
  </si>
  <si>
    <t>HN</t>
    <phoneticPr fontId="5" type="noConversion"/>
  </si>
  <si>
    <t>GD</t>
    <phoneticPr fontId="5" type="noConversion"/>
  </si>
  <si>
    <t>GX</t>
    <phoneticPr fontId="5" type="noConversion"/>
  </si>
  <si>
    <t>HI</t>
    <phoneticPr fontId="5" type="noConversion"/>
  </si>
  <si>
    <t>CQ</t>
    <phoneticPr fontId="5" type="noConversion"/>
  </si>
  <si>
    <t>SC</t>
    <phoneticPr fontId="5" type="noConversion"/>
  </si>
  <si>
    <t>GZ</t>
    <phoneticPr fontId="5" type="noConversion"/>
  </si>
  <si>
    <t>YN</t>
    <phoneticPr fontId="5" type="noConversion"/>
  </si>
  <si>
    <t>SN</t>
    <phoneticPr fontId="5" type="noConversion"/>
  </si>
  <si>
    <t>GS</t>
    <phoneticPr fontId="5" type="noConversion"/>
  </si>
  <si>
    <t>QH</t>
    <phoneticPr fontId="5" type="noConversion"/>
  </si>
  <si>
    <t>NX</t>
    <phoneticPr fontId="5" type="noConversion"/>
  </si>
  <si>
    <t>XJ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</si>
</sst>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6" x14ac:knownFonts="1">
    <font>
      <sz val="11"/>
      <color theme="1"/>
      <name val="宋体"/>
      <family val="2"/>
      <scheme val="minor"/>
    </font>
    <font>
      <sz val="16"/>
      <name val="黑体"/>
      <family val="3"/>
      <charset val="134"/>
    </font>
    <font>
      <sz val="10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9"/>
      <name val="宋体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17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2" fontId="0" fillId="0" borderId="0" xfId="0" applyNumberFormat="1"/>
    <xf numFmtId="0" fontId="0" fillId="2" borderId="0" xfId="0" applyFill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0" fillId="0" borderId="0" xfId="0" applyNumberFormat="1"/>
    <xf numFmtId="0" fontId="0" fillId="5" borderId="0" xfId="0" applyNumberFormat="1" applyFill="1"/>
    <xf numFmtId="0" fontId="2" fillId="5" borderId="4" xfId="0" applyFont="1" applyFill="1" applyBorder="1" applyAlignment="1">
      <alignment horizontal="left" vertical="center"/>
    </xf>
    <xf numFmtId="0" fontId="0" fillId="5" borderId="0" xfId="0" applyFill="1"/>
    <xf numFmtId="0" fontId="2" fillId="3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3"/>
  <sheetViews>
    <sheetView tabSelected="1" zoomScale="70" zoomScaleNormal="70" workbookViewId="0">
      <selection activeCell="A2" sqref="A2:A31"/>
    </sheetView>
  </sheetViews>
  <sheetFormatPr defaultRowHeight="13.5" x14ac:dyDescent="0.15"/>
  <cols>
    <col min="2" max="2" width="11.125" customWidth="1"/>
    <col min="3" max="3" width="10.625" customWidth="1"/>
    <col min="6" max="6" width="10.125" customWidth="1"/>
    <col min="7" max="9" width="10.5" customWidth="1"/>
    <col min="10" max="10" width="9.875" customWidth="1"/>
    <col min="11" max="11" width="10.5" bestFit="1" customWidth="1"/>
    <col min="12" max="13" width="9.75" customWidth="1"/>
    <col min="22" max="22" width="10.625" customWidth="1"/>
  </cols>
  <sheetData>
    <row r="1" spans="1:24" x14ac:dyDescent="0.15">
      <c r="B1" s="19" t="s">
        <v>0</v>
      </c>
      <c r="C1" t="s">
        <v>1</v>
      </c>
      <c r="D1" t="s">
        <v>2</v>
      </c>
      <c r="E1" t="s">
        <v>4</v>
      </c>
      <c r="F1" t="s">
        <v>3</v>
      </c>
      <c r="G1" s="19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5</v>
      </c>
      <c r="O1" t="s">
        <v>6</v>
      </c>
      <c r="P1" t="s">
        <v>7</v>
      </c>
      <c r="Q1" t="s">
        <v>122</v>
      </c>
      <c r="R1" t="s">
        <v>10</v>
      </c>
      <c r="S1" t="s">
        <v>8</v>
      </c>
      <c r="T1" t="s">
        <v>9</v>
      </c>
      <c r="U1" t="s">
        <v>118</v>
      </c>
    </row>
    <row r="2" spans="1:24" x14ac:dyDescent="0.15">
      <c r="A2" s="1" t="s">
        <v>160</v>
      </c>
      <c r="B2" s="3">
        <v>644.69197399999996</v>
      </c>
      <c r="C2">
        <v>344.40310199999999</v>
      </c>
      <c r="D2">
        <v>137.00169600000001</v>
      </c>
      <c r="E2">
        <v>2417.7307260000002</v>
      </c>
      <c r="F2">
        <v>0</v>
      </c>
      <c r="G2">
        <v>200.87550599999994</v>
      </c>
      <c r="J2">
        <v>0</v>
      </c>
      <c r="L2">
        <v>1099.4235259999998</v>
      </c>
      <c r="N2">
        <v>36.899567999999995</v>
      </c>
      <c r="O2">
        <v>995.353928</v>
      </c>
      <c r="P2">
        <v>11.575056</v>
      </c>
      <c r="Q2">
        <v>19.779792</v>
      </c>
      <c r="R2">
        <v>43.647455999999998</v>
      </c>
      <c r="S2">
        <v>195.89894399999997</v>
      </c>
      <c r="T2">
        <v>200.7696</v>
      </c>
      <c r="U2">
        <v>178.54553799999999</v>
      </c>
      <c r="V2" s="3">
        <f>B2+G2+E2+F2</f>
        <v>3263.2982060000004</v>
      </c>
      <c r="W2" s="3">
        <f>C2+D2+SUM(H2:U2)</f>
        <v>3263.2982059999999</v>
      </c>
      <c r="X2" s="3">
        <f>V2-W2</f>
        <v>0</v>
      </c>
    </row>
    <row r="3" spans="1:24" x14ac:dyDescent="0.15">
      <c r="A3" s="1" t="s">
        <v>161</v>
      </c>
      <c r="B3">
        <v>301.07307599999996</v>
      </c>
      <c r="C3">
        <v>58.837823999999898</v>
      </c>
      <c r="D3">
        <v>0</v>
      </c>
      <c r="E3">
        <v>3377.8098412519998</v>
      </c>
      <c r="F3">
        <v>0</v>
      </c>
      <c r="G3">
        <v>-36.542729999999978</v>
      </c>
      <c r="J3">
        <v>0</v>
      </c>
      <c r="L3">
        <v>1783.486406</v>
      </c>
      <c r="N3">
        <v>12.394080000000001</v>
      </c>
      <c r="O3">
        <v>1371.2109700000001</v>
      </c>
      <c r="P3">
        <v>16.068816000000002</v>
      </c>
      <c r="Q3">
        <v>11.227152</v>
      </c>
      <c r="R3">
        <v>28.716576</v>
      </c>
      <c r="S3">
        <v>39.559584000000001</v>
      </c>
      <c r="T3">
        <v>54.707904000000006</v>
      </c>
      <c r="U3">
        <v>266.13086400000003</v>
      </c>
      <c r="V3" s="3">
        <f t="shared" ref="V3:V31" si="0">B3+G3+E3+F3</f>
        <v>3642.3401872519999</v>
      </c>
      <c r="W3" s="3">
        <f t="shared" ref="W3:W31" si="1">C3+D3+SUM(H3:U3)</f>
        <v>3642.3401759999997</v>
      </c>
      <c r="X3" s="3">
        <f t="shared" ref="X3:X31" si="2">V3-W3</f>
        <v>1.1252000149397645E-5</v>
      </c>
    </row>
    <row r="4" spans="1:24" x14ac:dyDescent="0.15">
      <c r="A4" s="1" t="s">
        <v>162</v>
      </c>
      <c r="B4">
        <v>8321.5805779999992</v>
      </c>
      <c r="C4">
        <v>2384.3085211332</v>
      </c>
      <c r="D4">
        <v>221.10119200000003</v>
      </c>
      <c r="E4">
        <v>16264.077820143888</v>
      </c>
      <c r="F4">
        <v>8.9920900000000028</v>
      </c>
      <c r="G4">
        <v>-1104.164131999999</v>
      </c>
      <c r="J4">
        <v>0</v>
      </c>
      <c r="L4">
        <v>6902.5826625999998</v>
      </c>
      <c r="N4">
        <v>15.983165999999999</v>
      </c>
      <c r="O4">
        <v>11413.625403518685</v>
      </c>
      <c r="P4">
        <v>26.965799999999998</v>
      </c>
      <c r="Q4">
        <v>32.097896040000002</v>
      </c>
      <c r="R4">
        <v>34.731387840000004</v>
      </c>
      <c r="S4">
        <v>160.90530314</v>
      </c>
      <c r="T4">
        <v>792.76456787200038</v>
      </c>
      <c r="U4">
        <v>1505.4204560000001</v>
      </c>
      <c r="V4" s="3">
        <f t="shared" si="0"/>
        <v>23490.486356143887</v>
      </c>
      <c r="W4" s="3">
        <f t="shared" si="1"/>
        <v>23490.486356143883</v>
      </c>
      <c r="X4" s="3">
        <f t="shared" si="2"/>
        <v>0</v>
      </c>
    </row>
    <row r="5" spans="1:24" x14ac:dyDescent="0.15">
      <c r="A5" s="1" t="s">
        <v>163</v>
      </c>
      <c r="B5">
        <v>46966.280596000004</v>
      </c>
      <c r="C5">
        <v>44513.569803999999</v>
      </c>
      <c r="D5">
        <v>2121.4895999999999</v>
      </c>
      <c r="E5">
        <v>16144.711128000001</v>
      </c>
      <c r="F5">
        <v>0</v>
      </c>
      <c r="G5">
        <v>-254.55221399999834</v>
      </c>
      <c r="J5">
        <v>0</v>
      </c>
      <c r="L5">
        <v>6471.9971839999998</v>
      </c>
      <c r="N5">
        <v>77.590679999999992</v>
      </c>
      <c r="O5">
        <v>6344.5199259999999</v>
      </c>
      <c r="P5">
        <v>48.974328</v>
      </c>
      <c r="Q5">
        <v>39.581327999999999</v>
      </c>
      <c r="R5">
        <v>115.58475999999999</v>
      </c>
      <c r="S5">
        <v>26.629152000000001</v>
      </c>
      <c r="T5">
        <v>602.27900799999986</v>
      </c>
      <c r="U5">
        <v>2494.2237399999999</v>
      </c>
      <c r="V5" s="3">
        <f t="shared" si="0"/>
        <v>62856.439510000011</v>
      </c>
      <c r="W5" s="3">
        <f t="shared" si="1"/>
        <v>62856.439509999997</v>
      </c>
      <c r="X5" s="3">
        <f t="shared" si="2"/>
        <v>0</v>
      </c>
    </row>
    <row r="6" spans="1:24" x14ac:dyDescent="0.15">
      <c r="A6" s="1" t="s">
        <v>164</v>
      </c>
      <c r="B6">
        <v>27560.410993063993</v>
      </c>
      <c r="C6">
        <v>12821.785541038398</v>
      </c>
      <c r="D6">
        <v>935.26742400000012</v>
      </c>
      <c r="E6">
        <v>1163.8371108370025</v>
      </c>
      <c r="F6">
        <v>513.20455199999992</v>
      </c>
      <c r="G6">
        <v>-951.12956412220012</v>
      </c>
      <c r="J6">
        <v>0</v>
      </c>
      <c r="L6">
        <v>8606.5945310269981</v>
      </c>
      <c r="N6">
        <v>89.107466000000002</v>
      </c>
      <c r="O6">
        <v>3378.0176982675994</v>
      </c>
      <c r="P6">
        <v>68.561095999999992</v>
      </c>
      <c r="Q6">
        <v>96.617675119999987</v>
      </c>
      <c r="R6">
        <v>175.648662</v>
      </c>
      <c r="S6">
        <v>162.76233999999999</v>
      </c>
      <c r="T6">
        <v>449.68564200000009</v>
      </c>
      <c r="U6">
        <v>1502.2750163257997</v>
      </c>
      <c r="V6" s="3">
        <f t="shared" si="0"/>
        <v>28286.323091778795</v>
      </c>
      <c r="W6" s="3">
        <f t="shared" si="1"/>
        <v>28286.323091778791</v>
      </c>
      <c r="X6" s="3">
        <f t="shared" si="2"/>
        <v>0</v>
      </c>
    </row>
    <row r="7" spans="1:24" x14ac:dyDescent="0.15">
      <c r="A7" s="2" t="s">
        <v>165</v>
      </c>
      <c r="B7">
        <v>6389.4799140000014</v>
      </c>
      <c r="C7">
        <v>844.72979600000008</v>
      </c>
      <c r="D7">
        <v>1.9428000000000001E-2</v>
      </c>
      <c r="E7">
        <v>8093.2034020000001</v>
      </c>
      <c r="F7">
        <v>126.84</v>
      </c>
      <c r="G7">
        <v>-484.89181799999989</v>
      </c>
      <c r="J7">
        <v>0</v>
      </c>
      <c r="L7">
        <v>5933.3232839999991</v>
      </c>
      <c r="N7">
        <v>88.432848000000007</v>
      </c>
      <c r="O7">
        <v>5699.9434339999998</v>
      </c>
      <c r="P7">
        <v>56.514716</v>
      </c>
      <c r="Q7">
        <v>64.823844000000008</v>
      </c>
      <c r="R7">
        <v>25.442095999999999</v>
      </c>
      <c r="S7">
        <v>43.419856000000003</v>
      </c>
      <c r="T7">
        <v>387.84184000000005</v>
      </c>
      <c r="U7">
        <v>980.14035599999988</v>
      </c>
      <c r="V7" s="3">
        <f t="shared" si="0"/>
        <v>14124.631498000002</v>
      </c>
      <c r="W7" s="3">
        <f t="shared" si="1"/>
        <v>14124.631497999999</v>
      </c>
      <c r="X7" s="3">
        <f t="shared" si="2"/>
        <v>0</v>
      </c>
    </row>
    <row r="8" spans="1:24" x14ac:dyDescent="0.15">
      <c r="A8" s="1" t="s">
        <v>166</v>
      </c>
      <c r="B8">
        <v>3065.0707099999995</v>
      </c>
      <c r="C8">
        <v>508.18956000000014</v>
      </c>
      <c r="D8">
        <v>13.928658</v>
      </c>
      <c r="E8">
        <v>3898.1720020000002</v>
      </c>
      <c r="F8">
        <v>9.5093759999999996</v>
      </c>
      <c r="G8">
        <v>-60.14217799999993</v>
      </c>
      <c r="J8">
        <v>0</v>
      </c>
      <c r="L8">
        <v>2872.2173760000001</v>
      </c>
      <c r="N8">
        <v>55.599407999999997</v>
      </c>
      <c r="O8">
        <v>2334.0763660000002</v>
      </c>
      <c r="P8">
        <v>58.099967999999997</v>
      </c>
      <c r="Q8">
        <v>65.448648000000006</v>
      </c>
      <c r="R8">
        <v>125.850114</v>
      </c>
      <c r="S8">
        <v>191.89804799999999</v>
      </c>
      <c r="T8">
        <v>215.551108</v>
      </c>
      <c r="U8">
        <v>471.75065599999999</v>
      </c>
      <c r="V8" s="3">
        <f t="shared" si="0"/>
        <v>6912.6099099999992</v>
      </c>
      <c r="W8" s="3">
        <f t="shared" si="1"/>
        <v>6912.6099100000001</v>
      </c>
      <c r="X8" s="3">
        <f t="shared" si="2"/>
        <v>0</v>
      </c>
    </row>
    <row r="9" spans="1:24" x14ac:dyDescent="0.15">
      <c r="A9" s="1" t="s">
        <v>167</v>
      </c>
      <c r="B9">
        <v>7890.8994079999984</v>
      </c>
      <c r="C9">
        <v>2768.1511760000003</v>
      </c>
      <c r="D9">
        <v>6.8856000000000002</v>
      </c>
      <c r="E9">
        <v>2328.4044060000006</v>
      </c>
      <c r="F9">
        <v>1.0147199999999998</v>
      </c>
      <c r="G9">
        <v>-1011.152503999999</v>
      </c>
      <c r="J9">
        <v>0</v>
      </c>
      <c r="L9">
        <v>3568.3411060000003</v>
      </c>
      <c r="N9">
        <v>32.384064000000002</v>
      </c>
      <c r="O9">
        <v>1894.9381740000001</v>
      </c>
      <c r="P9">
        <v>3.5442719999999999</v>
      </c>
      <c r="Q9">
        <v>91.194335999999993</v>
      </c>
      <c r="R9">
        <v>0</v>
      </c>
      <c r="S9">
        <v>0</v>
      </c>
      <c r="T9">
        <v>109.14763199999999</v>
      </c>
      <c r="U9">
        <v>734.57966999999996</v>
      </c>
      <c r="V9" s="3">
        <f t="shared" si="0"/>
        <v>9209.1660300000003</v>
      </c>
      <c r="W9" s="3">
        <f t="shared" si="1"/>
        <v>9209.1660300000003</v>
      </c>
      <c r="X9" s="3">
        <f t="shared" si="2"/>
        <v>0</v>
      </c>
    </row>
    <row r="10" spans="1:24" x14ac:dyDescent="0.15">
      <c r="A10" s="1" t="s">
        <v>168</v>
      </c>
      <c r="B10">
        <v>438.87894799999975</v>
      </c>
      <c r="C10">
        <v>3295.3266822117284</v>
      </c>
      <c r="D10">
        <v>0</v>
      </c>
      <c r="E10">
        <v>7260.5272641961674</v>
      </c>
      <c r="F10">
        <v>0</v>
      </c>
      <c r="G10">
        <v>-30.992074000000002</v>
      </c>
      <c r="J10">
        <v>0</v>
      </c>
      <c r="L10">
        <v>2509.5264780000002</v>
      </c>
      <c r="N10">
        <v>1.4496</v>
      </c>
      <c r="O10">
        <v>1501.696017984437</v>
      </c>
      <c r="P10">
        <v>8.2220800000000001</v>
      </c>
      <c r="Q10">
        <v>4.607175999999999</v>
      </c>
      <c r="R10">
        <v>55.759264000000002</v>
      </c>
      <c r="S10">
        <v>55.240272000000004</v>
      </c>
      <c r="T10">
        <v>98.979039999999941</v>
      </c>
      <c r="U10">
        <v>137.60752799999997</v>
      </c>
      <c r="V10" s="3">
        <f t="shared" si="0"/>
        <v>7668.4141381961672</v>
      </c>
      <c r="W10" s="3">
        <f t="shared" si="1"/>
        <v>7668.4141381961654</v>
      </c>
      <c r="X10" s="3">
        <f t="shared" si="2"/>
        <v>0</v>
      </c>
    </row>
    <row r="11" spans="1:24" x14ac:dyDescent="0.15">
      <c r="A11" s="1" t="s">
        <v>169</v>
      </c>
      <c r="B11">
        <v>2993.9081360000009</v>
      </c>
      <c r="C11">
        <v>358.97609600000004</v>
      </c>
      <c r="D11">
        <v>47.836799999999997</v>
      </c>
      <c r="E11">
        <v>13961.282074399996</v>
      </c>
      <c r="F11">
        <v>173.952</v>
      </c>
      <c r="G11">
        <v>-108.49015800000012</v>
      </c>
      <c r="J11">
        <v>0</v>
      </c>
      <c r="L11">
        <v>9531.0313324000017</v>
      </c>
      <c r="N11">
        <v>45.669647999999995</v>
      </c>
      <c r="O11">
        <v>6199.1104679999999</v>
      </c>
      <c r="P11">
        <v>3.2616000000000001</v>
      </c>
      <c r="Q11">
        <v>30.659039999999997</v>
      </c>
      <c r="R11">
        <v>29.85202</v>
      </c>
      <c r="S11">
        <v>0</v>
      </c>
      <c r="T11">
        <v>71.982767999999595</v>
      </c>
      <c r="U11">
        <v>702.27228000000002</v>
      </c>
      <c r="V11" s="3">
        <f t="shared" si="0"/>
        <v>17020.652052399997</v>
      </c>
      <c r="W11" s="3">
        <f t="shared" si="1"/>
        <v>17020.652052400001</v>
      </c>
      <c r="X11" s="3">
        <f t="shared" si="2"/>
        <v>0</v>
      </c>
    </row>
    <row r="12" spans="1:24" x14ac:dyDescent="0.15">
      <c r="A12" s="1" t="s">
        <v>170</v>
      </c>
      <c r="B12">
        <v>525.68042848000039</v>
      </c>
      <c r="C12">
        <v>4.4237720000000191</v>
      </c>
      <c r="D12">
        <v>0</v>
      </c>
      <c r="E12">
        <v>9447.3018592600019</v>
      </c>
      <c r="F12">
        <v>139.24451711999998</v>
      </c>
      <c r="G12">
        <v>0.29541177999999224</v>
      </c>
      <c r="J12">
        <v>-90.084818940000005</v>
      </c>
      <c r="L12">
        <v>6788.6192012199999</v>
      </c>
      <c r="N12">
        <v>6.6249619199999996</v>
      </c>
      <c r="O12">
        <v>2823.4219141799995</v>
      </c>
      <c r="P12">
        <v>7.2480000000000002</v>
      </c>
      <c r="Q12">
        <v>2.8387516800000001</v>
      </c>
      <c r="R12">
        <v>21.357599999999998</v>
      </c>
      <c r="S12">
        <v>0</v>
      </c>
      <c r="T12">
        <v>54.336926400000287</v>
      </c>
      <c r="U12">
        <v>493.73590817999997</v>
      </c>
      <c r="V12" s="3">
        <f t="shared" si="0"/>
        <v>10112.522216640002</v>
      </c>
      <c r="W12" s="3">
        <f t="shared" si="1"/>
        <v>10112.52221664</v>
      </c>
      <c r="X12" s="3">
        <f t="shared" si="2"/>
        <v>0</v>
      </c>
    </row>
    <row r="13" spans="1:24" x14ac:dyDescent="0.15">
      <c r="A13" s="1" t="s">
        <v>171</v>
      </c>
      <c r="B13">
        <v>7178.6690900000003</v>
      </c>
      <c r="C13">
        <v>2161.536811578409</v>
      </c>
      <c r="D13">
        <v>0</v>
      </c>
      <c r="E13">
        <v>2616.8277733140694</v>
      </c>
      <c r="F13">
        <v>59.588999999999999</v>
      </c>
      <c r="G13">
        <v>-203.10626239999991</v>
      </c>
      <c r="J13">
        <v>-36.981197999999999</v>
      </c>
      <c r="L13">
        <v>3179.2916260000002</v>
      </c>
      <c r="N13">
        <v>26.824847999999999</v>
      </c>
      <c r="O13">
        <v>3595.762215335661</v>
      </c>
      <c r="P13">
        <v>27.578639999999996</v>
      </c>
      <c r="Q13">
        <v>11.067696</v>
      </c>
      <c r="R13">
        <v>46.3872</v>
      </c>
      <c r="S13">
        <v>19.931999999999999</v>
      </c>
      <c r="T13">
        <v>264.74014000000011</v>
      </c>
      <c r="U13">
        <v>355.83962199999996</v>
      </c>
      <c r="V13" s="3">
        <f t="shared" si="0"/>
        <v>9651.97960091407</v>
      </c>
      <c r="W13" s="3">
        <f t="shared" si="1"/>
        <v>9651.97960091407</v>
      </c>
      <c r="X13" s="3">
        <f t="shared" si="2"/>
        <v>0</v>
      </c>
    </row>
    <row r="14" spans="1:24" x14ac:dyDescent="0.15">
      <c r="A14" s="1" t="s">
        <v>172</v>
      </c>
      <c r="B14">
        <v>1932.8006560000001</v>
      </c>
      <c r="C14">
        <v>257.03752747480002</v>
      </c>
      <c r="D14">
        <v>0</v>
      </c>
      <c r="E14">
        <v>3271.656419252</v>
      </c>
      <c r="F14">
        <v>133.0008</v>
      </c>
      <c r="G14">
        <v>5.1815300000000137</v>
      </c>
      <c r="J14">
        <v>0</v>
      </c>
      <c r="L14">
        <v>2408.1853340000002</v>
      </c>
      <c r="N14">
        <v>45.328992</v>
      </c>
      <c r="O14">
        <v>2250.56187</v>
      </c>
      <c r="P14">
        <v>5.7259200000000003</v>
      </c>
      <c r="Q14">
        <v>4.2038399999999996</v>
      </c>
      <c r="R14">
        <v>20.635055999999999</v>
      </c>
      <c r="S14">
        <v>46.271232000000005</v>
      </c>
      <c r="T14">
        <v>97.485600000000147</v>
      </c>
      <c r="U14">
        <v>207.20402799999999</v>
      </c>
      <c r="V14" s="3">
        <f t="shared" si="0"/>
        <v>5342.639405252</v>
      </c>
      <c r="W14" s="3">
        <f t="shared" si="1"/>
        <v>5342.6393994748005</v>
      </c>
      <c r="X14" s="3">
        <f t="shared" si="2"/>
        <v>5.7771994761424139E-6</v>
      </c>
    </row>
    <row r="15" spans="1:24" x14ac:dyDescent="0.15">
      <c r="A15" s="1" t="s">
        <v>173</v>
      </c>
      <c r="B15">
        <v>2912.0773879999997</v>
      </c>
      <c r="C15">
        <v>526.41738999999995</v>
      </c>
      <c r="D15">
        <v>0</v>
      </c>
      <c r="E15">
        <v>2217.2927880000002</v>
      </c>
      <c r="F15">
        <v>0</v>
      </c>
      <c r="G15">
        <v>-215.79049200000014</v>
      </c>
      <c r="J15">
        <v>0</v>
      </c>
      <c r="L15">
        <v>1796.3612240000002</v>
      </c>
      <c r="N15">
        <v>19.721807999999999</v>
      </c>
      <c r="O15">
        <v>2210.3359700000001</v>
      </c>
      <c r="P15">
        <v>0</v>
      </c>
      <c r="Q15">
        <v>2.0076960000000001</v>
      </c>
      <c r="R15">
        <v>13.453099999999999</v>
      </c>
      <c r="S15">
        <v>0.7248</v>
      </c>
      <c r="T15">
        <v>139.70444000000001</v>
      </c>
      <c r="U15">
        <v>204.85325599999999</v>
      </c>
      <c r="V15" s="3">
        <f t="shared" si="0"/>
        <v>4913.5796840000003</v>
      </c>
      <c r="W15" s="3">
        <f t="shared" si="1"/>
        <v>4913.5796840000012</v>
      </c>
      <c r="X15" s="3">
        <f t="shared" si="2"/>
        <v>0</v>
      </c>
    </row>
    <row r="16" spans="1:24" x14ac:dyDescent="0.15">
      <c r="A16" s="1" t="s">
        <v>174</v>
      </c>
      <c r="B16">
        <v>12290.612813999998</v>
      </c>
      <c r="C16">
        <v>3286.7139580000003</v>
      </c>
      <c r="D16">
        <v>169.74</v>
      </c>
      <c r="E16">
        <v>15626.316958228799</v>
      </c>
      <c r="F16">
        <v>0</v>
      </c>
      <c r="G16">
        <v>-593.67015217640017</v>
      </c>
      <c r="J16">
        <v>0</v>
      </c>
      <c r="L16">
        <v>11820.28319507</v>
      </c>
      <c r="N16">
        <v>198.59520000000001</v>
      </c>
      <c r="O16">
        <v>9343.9074950499999</v>
      </c>
      <c r="P16">
        <v>44.212800000000001</v>
      </c>
      <c r="Q16">
        <v>55.798920000000003</v>
      </c>
      <c r="R16">
        <v>90.777679999999989</v>
      </c>
      <c r="S16">
        <v>67.087999999999994</v>
      </c>
      <c r="T16">
        <v>396.71354769760023</v>
      </c>
      <c r="U16">
        <v>1849.4288242348</v>
      </c>
      <c r="V16" s="3">
        <f t="shared" si="0"/>
        <v>27323.259620052399</v>
      </c>
      <c r="W16" s="3">
        <f t="shared" si="1"/>
        <v>27323.259620052406</v>
      </c>
      <c r="X16" s="3">
        <f t="shared" si="2"/>
        <v>0</v>
      </c>
    </row>
    <row r="17" spans="1:24" x14ac:dyDescent="0.15">
      <c r="A17" s="1" t="s">
        <v>175</v>
      </c>
      <c r="B17">
        <v>15456.424358</v>
      </c>
      <c r="C17">
        <v>5849.5568979999998</v>
      </c>
      <c r="D17">
        <v>0</v>
      </c>
      <c r="E17">
        <v>7860.6518240000005</v>
      </c>
      <c r="F17">
        <v>0</v>
      </c>
      <c r="G17">
        <v>-643.13360799999987</v>
      </c>
      <c r="J17">
        <v>0</v>
      </c>
      <c r="L17">
        <v>7511.4106679999995</v>
      </c>
      <c r="N17">
        <v>72.48</v>
      </c>
      <c r="O17">
        <v>7457.1840699999993</v>
      </c>
      <c r="P17">
        <v>0</v>
      </c>
      <c r="Q17">
        <v>14.496</v>
      </c>
      <c r="R17">
        <v>18.81024</v>
      </c>
      <c r="S17">
        <v>0</v>
      </c>
      <c r="T17">
        <v>798.45357599999988</v>
      </c>
      <c r="U17">
        <v>951.55112200000008</v>
      </c>
      <c r="V17" s="3">
        <f t="shared" si="0"/>
        <v>22673.942574000001</v>
      </c>
      <c r="W17" s="3">
        <f t="shared" si="1"/>
        <v>22673.942573999997</v>
      </c>
      <c r="X17" s="3">
        <f t="shared" si="2"/>
        <v>0</v>
      </c>
    </row>
    <row r="18" spans="1:24" x14ac:dyDescent="0.15">
      <c r="A18" s="1" t="s">
        <v>176</v>
      </c>
      <c r="B18">
        <v>692.62536999999952</v>
      </c>
      <c r="C18">
        <v>0</v>
      </c>
      <c r="D18">
        <v>0</v>
      </c>
      <c r="E18">
        <v>7650.3081560000001</v>
      </c>
      <c r="F18">
        <v>0</v>
      </c>
      <c r="G18">
        <v>-111.33318999999983</v>
      </c>
      <c r="J18">
        <v>0</v>
      </c>
      <c r="L18">
        <v>2894.6408659999993</v>
      </c>
      <c r="N18">
        <v>64.275264000000007</v>
      </c>
      <c r="O18">
        <v>4207.2975460000007</v>
      </c>
      <c r="P18">
        <v>66.02928</v>
      </c>
      <c r="Q18">
        <v>100.3848</v>
      </c>
      <c r="R18">
        <v>105.72657600000001</v>
      </c>
      <c r="S18">
        <v>41.241120000000002</v>
      </c>
      <c r="T18">
        <v>393.77659199999988</v>
      </c>
      <c r="U18">
        <v>358.22829200000001</v>
      </c>
      <c r="V18" s="3">
        <f t="shared" si="0"/>
        <v>8231.6003359999995</v>
      </c>
      <c r="W18" s="3">
        <f t="shared" si="1"/>
        <v>8231.6003359999995</v>
      </c>
      <c r="X18" s="3">
        <f t="shared" si="2"/>
        <v>0</v>
      </c>
    </row>
    <row r="19" spans="1:24" x14ac:dyDescent="0.15">
      <c r="A19" s="1" t="s">
        <v>177</v>
      </c>
      <c r="B19">
        <v>5543.4368000000013</v>
      </c>
      <c r="C19">
        <v>1074.431898</v>
      </c>
      <c r="D19">
        <v>0</v>
      </c>
      <c r="E19">
        <v>3701.2917739999998</v>
      </c>
      <c r="F19">
        <v>0</v>
      </c>
      <c r="G19">
        <v>-89.12638800000002</v>
      </c>
      <c r="J19">
        <v>0</v>
      </c>
      <c r="L19">
        <v>2243.5750720000001</v>
      </c>
      <c r="N19">
        <v>243.94970399999997</v>
      </c>
      <c r="O19">
        <v>4725.3954279999998</v>
      </c>
      <c r="P19">
        <v>15.805803999999998</v>
      </c>
      <c r="Q19">
        <v>7.2601800000000001</v>
      </c>
      <c r="R19">
        <v>242.93279200000001</v>
      </c>
      <c r="S19">
        <v>8.6975999999999996</v>
      </c>
      <c r="T19">
        <v>346.09784000000008</v>
      </c>
      <c r="U19">
        <v>247.45586800000001</v>
      </c>
      <c r="V19" s="3">
        <f t="shared" si="0"/>
        <v>9155.6021860000019</v>
      </c>
      <c r="W19" s="3">
        <f t="shared" si="1"/>
        <v>9155.6021860000001</v>
      </c>
      <c r="X19" s="3">
        <f t="shared" si="2"/>
        <v>0</v>
      </c>
    </row>
    <row r="20" spans="1:24" x14ac:dyDescent="0.15">
      <c r="A20" s="1" t="s">
        <v>178</v>
      </c>
      <c r="B20">
        <v>724.21401599999899</v>
      </c>
      <c r="C20">
        <v>24.595175431228551</v>
      </c>
      <c r="D20">
        <v>21.899777999999998</v>
      </c>
      <c r="E20">
        <v>8493.6877540447913</v>
      </c>
      <c r="F20">
        <v>1104.1930279999999</v>
      </c>
      <c r="G20">
        <v>4.6497340000000138</v>
      </c>
      <c r="J20">
        <v>0</v>
      </c>
      <c r="L20">
        <v>6298.6999599999999</v>
      </c>
      <c r="N20">
        <v>40.132176000000001</v>
      </c>
      <c r="O20">
        <v>3321.6023346135621</v>
      </c>
      <c r="P20">
        <v>1.7467680000000001</v>
      </c>
      <c r="Q20">
        <v>1.2104159999999999</v>
      </c>
      <c r="R20">
        <v>30.877616000000003</v>
      </c>
      <c r="S20">
        <v>0</v>
      </c>
      <c r="T20">
        <v>74.121759999999881</v>
      </c>
      <c r="U20">
        <v>511.85854799999998</v>
      </c>
      <c r="V20" s="3">
        <f t="shared" si="0"/>
        <v>10326.74453204479</v>
      </c>
      <c r="W20" s="3">
        <f t="shared" si="1"/>
        <v>10326.744532044791</v>
      </c>
      <c r="X20" s="3">
        <f t="shared" si="2"/>
        <v>0</v>
      </c>
    </row>
    <row r="21" spans="1:24" x14ac:dyDescent="0.15">
      <c r="A21" s="1" t="s">
        <v>179</v>
      </c>
      <c r="B21">
        <v>1029.1841899999999</v>
      </c>
      <c r="C21">
        <v>959.90574727999967</v>
      </c>
      <c r="D21">
        <v>0</v>
      </c>
      <c r="E21">
        <v>3250.7414820800004</v>
      </c>
      <c r="F21">
        <v>984.27840000000003</v>
      </c>
      <c r="G21">
        <v>19.804737999999954</v>
      </c>
      <c r="J21">
        <v>0</v>
      </c>
      <c r="L21">
        <v>1493.3898707199999</v>
      </c>
      <c r="N21">
        <v>23.447280000000003</v>
      </c>
      <c r="O21">
        <v>2466.8956319999998</v>
      </c>
      <c r="P21">
        <v>0</v>
      </c>
      <c r="Q21">
        <v>14.053872</v>
      </c>
      <c r="R21">
        <v>29.883503999999999</v>
      </c>
      <c r="S21">
        <v>16.590672000000001</v>
      </c>
      <c r="T21">
        <v>28.01864000000003</v>
      </c>
      <c r="U21">
        <v>251.82359208</v>
      </c>
      <c r="V21" s="3">
        <f t="shared" si="0"/>
        <v>5284.0088100800003</v>
      </c>
      <c r="W21" s="3">
        <f t="shared" si="1"/>
        <v>5284.0088100799994</v>
      </c>
      <c r="X21" s="3">
        <f t="shared" si="2"/>
        <v>0</v>
      </c>
    </row>
    <row r="22" spans="1:24" x14ac:dyDescent="0.15">
      <c r="A22" s="1" t="s">
        <v>180</v>
      </c>
      <c r="B22">
        <v>0</v>
      </c>
      <c r="C22">
        <v>0.84013107999999992</v>
      </c>
      <c r="D22">
        <v>0</v>
      </c>
      <c r="E22">
        <v>266.50428599999998</v>
      </c>
      <c r="F22">
        <v>63.818639999999995</v>
      </c>
      <c r="G22">
        <v>1.3108E-4</v>
      </c>
      <c r="J22">
        <v>0</v>
      </c>
      <c r="L22">
        <v>245.750688</v>
      </c>
      <c r="N22">
        <v>0</v>
      </c>
      <c r="O22">
        <v>74.945717999999999</v>
      </c>
      <c r="P22">
        <v>0</v>
      </c>
      <c r="Q22">
        <v>0</v>
      </c>
      <c r="R22">
        <v>0.52800000000000002</v>
      </c>
      <c r="S22">
        <v>0</v>
      </c>
      <c r="T22">
        <v>0.93000000000000016</v>
      </c>
      <c r="U22">
        <v>7.3285200000000001</v>
      </c>
      <c r="V22" s="3">
        <f t="shared" si="0"/>
        <v>330.32305708000001</v>
      </c>
      <c r="W22" s="3">
        <f t="shared" si="1"/>
        <v>330.32305708000007</v>
      </c>
      <c r="X22" s="3">
        <f t="shared" si="2"/>
        <v>0</v>
      </c>
    </row>
    <row r="23" spans="1:24" x14ac:dyDescent="0.15">
      <c r="A23" s="1" t="s">
        <v>181</v>
      </c>
      <c r="B23">
        <v>3252.8142699999999</v>
      </c>
      <c r="C23">
        <v>970.68024000000003</v>
      </c>
      <c r="D23">
        <v>0</v>
      </c>
      <c r="E23">
        <v>837.86383199999989</v>
      </c>
      <c r="F23">
        <v>0</v>
      </c>
      <c r="G23">
        <v>-104.50780199999993</v>
      </c>
      <c r="J23">
        <v>0</v>
      </c>
      <c r="L23">
        <v>1264.591154</v>
      </c>
      <c r="N23">
        <v>199.3922</v>
      </c>
      <c r="O23">
        <v>1299.473422</v>
      </c>
      <c r="P23">
        <v>23.183250000000001</v>
      </c>
      <c r="Q23">
        <v>17.837664</v>
      </c>
      <c r="R23">
        <v>0.86251199999999995</v>
      </c>
      <c r="S23">
        <v>0.76104000000000005</v>
      </c>
      <c r="T23">
        <v>109.30283999999985</v>
      </c>
      <c r="U23">
        <v>100.085978</v>
      </c>
      <c r="V23" s="3">
        <f t="shared" si="0"/>
        <v>3986.1702999999998</v>
      </c>
      <c r="W23" s="3">
        <f t="shared" si="1"/>
        <v>3986.1703000000002</v>
      </c>
      <c r="X23" s="3">
        <f t="shared" si="2"/>
        <v>0</v>
      </c>
    </row>
    <row r="24" spans="1:24" x14ac:dyDescent="0.15">
      <c r="A24" s="1" t="s">
        <v>182</v>
      </c>
      <c r="B24">
        <v>6927.4499519999999</v>
      </c>
      <c r="C24">
        <v>562.78248399999995</v>
      </c>
      <c r="D24">
        <v>5.0850000000000009</v>
      </c>
      <c r="E24">
        <v>709.79312800000037</v>
      </c>
      <c r="F24">
        <v>0</v>
      </c>
      <c r="G24">
        <v>-694.63745999999992</v>
      </c>
      <c r="J24">
        <v>0</v>
      </c>
      <c r="L24">
        <v>2608.6420420000009</v>
      </c>
      <c r="N24">
        <v>22.048416</v>
      </c>
      <c r="O24">
        <v>3148.9643759999999</v>
      </c>
      <c r="P24">
        <v>20.875385999999999</v>
      </c>
      <c r="Q24">
        <v>9.3651600000000013</v>
      </c>
      <c r="R24">
        <v>43.493970000000004</v>
      </c>
      <c r="S24">
        <v>10.432595999999998</v>
      </c>
      <c r="T24">
        <v>436.7396040000001</v>
      </c>
      <c r="U24">
        <v>74.176586000000015</v>
      </c>
      <c r="V24" s="3">
        <f t="shared" si="0"/>
        <v>6942.6056200000003</v>
      </c>
      <c r="W24" s="3">
        <f t="shared" si="1"/>
        <v>6942.6056200000012</v>
      </c>
      <c r="X24" s="3">
        <f t="shared" si="2"/>
        <v>0</v>
      </c>
    </row>
    <row r="25" spans="1:24" x14ac:dyDescent="0.15">
      <c r="A25" s="1" t="s">
        <v>183</v>
      </c>
      <c r="B25">
        <v>8365.5918120000006</v>
      </c>
      <c r="C25">
        <v>2212.2532160000001</v>
      </c>
      <c r="D25">
        <v>4.2908159999999995</v>
      </c>
      <c r="E25">
        <v>1599.3146880000006</v>
      </c>
      <c r="F25">
        <v>0</v>
      </c>
      <c r="G25">
        <v>-704.48502400000018</v>
      </c>
      <c r="J25">
        <v>0</v>
      </c>
      <c r="L25">
        <v>3352.9136719999997</v>
      </c>
      <c r="N25">
        <v>203.38542000000001</v>
      </c>
      <c r="O25">
        <v>2250.5998999999997</v>
      </c>
      <c r="P25">
        <v>5.3665199999999995</v>
      </c>
      <c r="Q25">
        <v>9.221108000000001</v>
      </c>
      <c r="R25">
        <v>120.04212</v>
      </c>
      <c r="S25">
        <v>163.90338000000003</v>
      </c>
      <c r="T25">
        <v>684.25085000000001</v>
      </c>
      <c r="U25">
        <v>254.19447399999999</v>
      </c>
      <c r="V25" s="3">
        <f t="shared" si="0"/>
        <v>9260.4214760000013</v>
      </c>
      <c r="W25" s="3">
        <f t="shared" si="1"/>
        <v>9260.4214759999995</v>
      </c>
      <c r="X25" s="3">
        <f t="shared" si="2"/>
        <v>0</v>
      </c>
    </row>
    <row r="26" spans="1:24" x14ac:dyDescent="0.15">
      <c r="A26" s="1" t="s">
        <v>184</v>
      </c>
      <c r="B26">
        <v>5985.4636581399991</v>
      </c>
      <c r="C26">
        <v>874.96632140292627</v>
      </c>
      <c r="D26">
        <v>0</v>
      </c>
      <c r="E26">
        <v>1227.4598290223889</v>
      </c>
      <c r="F26">
        <v>0</v>
      </c>
      <c r="G26">
        <v>-38.77207459739796</v>
      </c>
      <c r="J26">
        <v>0</v>
      </c>
      <c r="L26">
        <v>2445.0084730895437</v>
      </c>
      <c r="N26">
        <v>149.42199096000002</v>
      </c>
      <c r="O26">
        <v>2886.6746043725202</v>
      </c>
      <c r="P26">
        <v>21.229608840000001</v>
      </c>
      <c r="Q26">
        <v>18.7110153</v>
      </c>
      <c r="R26">
        <v>13.190856</v>
      </c>
      <c r="S26">
        <v>12.435486000000001</v>
      </c>
      <c r="T26">
        <v>235.35379660000007</v>
      </c>
      <c r="U26">
        <v>517.15926000000002</v>
      </c>
      <c r="V26" s="3">
        <f t="shared" si="0"/>
        <v>7174.1514125649901</v>
      </c>
      <c r="W26" s="3">
        <f t="shared" si="1"/>
        <v>7174.1514125649919</v>
      </c>
      <c r="X26" s="3">
        <f t="shared" si="2"/>
        <v>0</v>
      </c>
    </row>
    <row r="27" spans="1:24" x14ac:dyDescent="0.15">
      <c r="A27" s="1" t="s">
        <v>185</v>
      </c>
      <c r="B27">
        <v>14219.736616</v>
      </c>
      <c r="C27">
        <v>7756.6811580000003</v>
      </c>
      <c r="D27">
        <v>410.22871799999996</v>
      </c>
      <c r="E27">
        <v>165.78350000000006</v>
      </c>
      <c r="F27">
        <v>0</v>
      </c>
      <c r="G27">
        <v>-337.8788320000001</v>
      </c>
      <c r="J27">
        <v>0</v>
      </c>
      <c r="L27">
        <v>2598.9197359999998</v>
      </c>
      <c r="N27">
        <v>15.719068000000002</v>
      </c>
      <c r="O27">
        <v>1905.3369279999999</v>
      </c>
      <c r="P27">
        <v>8.6975999999999996</v>
      </c>
      <c r="Q27">
        <v>18.727871999999998</v>
      </c>
      <c r="R27">
        <v>143.62544</v>
      </c>
      <c r="S27">
        <v>0</v>
      </c>
      <c r="T27">
        <v>71.776496000000165</v>
      </c>
      <c r="U27">
        <v>1117.9282679999999</v>
      </c>
      <c r="V27" s="3">
        <f t="shared" si="0"/>
        <v>14047.641283999999</v>
      </c>
      <c r="W27" s="3">
        <f t="shared" si="1"/>
        <v>14047.641284000001</v>
      </c>
      <c r="X27" s="3">
        <f t="shared" si="2"/>
        <v>0</v>
      </c>
    </row>
    <row r="28" spans="1:24" x14ac:dyDescent="0.15">
      <c r="A28" s="1" t="s">
        <v>186</v>
      </c>
      <c r="B28">
        <v>3272.4827600000003</v>
      </c>
      <c r="C28">
        <v>690.09436000000005</v>
      </c>
      <c r="D28">
        <v>0</v>
      </c>
      <c r="E28">
        <v>1279.0535859999998</v>
      </c>
      <c r="F28">
        <v>0</v>
      </c>
      <c r="G28">
        <v>2.3669200000000004</v>
      </c>
      <c r="J28">
        <v>0</v>
      </c>
      <c r="L28">
        <v>1724.0965100000003</v>
      </c>
      <c r="N28">
        <v>27.39744</v>
      </c>
      <c r="O28">
        <v>1333.2345220000002</v>
      </c>
      <c r="P28">
        <v>18.12</v>
      </c>
      <c r="Q28">
        <v>39.566832000000005</v>
      </c>
      <c r="R28">
        <v>16.670400000000001</v>
      </c>
      <c r="S28">
        <v>11.234400000000001</v>
      </c>
      <c r="T28">
        <v>291.35851000000002</v>
      </c>
      <c r="U28">
        <v>402.13029200000005</v>
      </c>
      <c r="V28" s="3">
        <f t="shared" si="0"/>
        <v>4553.9032660000003</v>
      </c>
      <c r="W28" s="3">
        <f t="shared" si="1"/>
        <v>4553.9032660000003</v>
      </c>
      <c r="X28" s="3">
        <f t="shared" si="2"/>
        <v>0</v>
      </c>
    </row>
    <row r="29" spans="1:24" x14ac:dyDescent="0.15">
      <c r="A29" s="1" t="s">
        <v>187</v>
      </c>
      <c r="B29">
        <v>714.81933826999978</v>
      </c>
      <c r="C29">
        <v>148.40693515999982</v>
      </c>
      <c r="D29">
        <v>-6.1430000000000002E-4</v>
      </c>
      <c r="E29">
        <v>334.12055976880004</v>
      </c>
      <c r="F29">
        <v>0</v>
      </c>
      <c r="G29">
        <v>-15.059842752000014</v>
      </c>
      <c r="J29">
        <v>0</v>
      </c>
      <c r="L29">
        <v>351.97214070600006</v>
      </c>
      <c r="N29">
        <v>3.0006719999999998</v>
      </c>
      <c r="O29">
        <v>359.67232172000001</v>
      </c>
      <c r="P29">
        <v>1.8883799999999999</v>
      </c>
      <c r="Q29">
        <v>8.1612641144000015</v>
      </c>
      <c r="R29">
        <v>1.9622687599999999</v>
      </c>
      <c r="S29">
        <v>6.2115885200000003</v>
      </c>
      <c r="T29">
        <v>57.984077510399992</v>
      </c>
      <c r="U29">
        <v>94.621076492</v>
      </c>
      <c r="V29" s="3">
        <f t="shared" si="0"/>
        <v>1033.8800552867997</v>
      </c>
      <c r="W29" s="3">
        <f t="shared" si="1"/>
        <v>1033.8801106828</v>
      </c>
      <c r="X29" s="3">
        <f t="shared" si="2"/>
        <v>-5.5396000334440032E-5</v>
      </c>
    </row>
    <row r="30" spans="1:24" x14ac:dyDescent="0.15">
      <c r="A30" s="1" t="s">
        <v>188</v>
      </c>
      <c r="B30">
        <v>3232.8266180000001</v>
      </c>
      <c r="C30">
        <v>1151.0788740000003</v>
      </c>
      <c r="D30">
        <v>16.326000000000001</v>
      </c>
      <c r="E30">
        <v>999.63105600000006</v>
      </c>
      <c r="F30">
        <v>0</v>
      </c>
      <c r="G30">
        <v>-129.65627599999971</v>
      </c>
      <c r="J30">
        <v>0</v>
      </c>
      <c r="L30">
        <v>1705.306184</v>
      </c>
      <c r="N30">
        <v>3.2616000000000001</v>
      </c>
      <c r="O30">
        <v>728.32428000000016</v>
      </c>
      <c r="P30">
        <v>4.7111999999999998</v>
      </c>
      <c r="Q30">
        <v>9.6760799999999989</v>
      </c>
      <c r="R30">
        <v>2.8992</v>
      </c>
      <c r="S30">
        <v>2.8992</v>
      </c>
      <c r="T30">
        <v>69.885215999999986</v>
      </c>
      <c r="U30">
        <v>408.43356399999999</v>
      </c>
      <c r="V30" s="3">
        <f t="shared" si="0"/>
        <v>4102.8013980000005</v>
      </c>
      <c r="W30" s="3">
        <f t="shared" si="1"/>
        <v>4102.8013980000005</v>
      </c>
      <c r="X30" s="3">
        <f t="shared" si="2"/>
        <v>0</v>
      </c>
    </row>
    <row r="31" spans="1:24" x14ac:dyDescent="0.15">
      <c r="A31" s="1" t="s">
        <v>189</v>
      </c>
      <c r="B31">
        <v>4112.4489120000007</v>
      </c>
      <c r="C31">
        <v>326.81386799999996</v>
      </c>
      <c r="D31">
        <v>52.564770000000003</v>
      </c>
      <c r="E31">
        <v>145.95235799999998</v>
      </c>
      <c r="F31">
        <v>1.8337439999999998</v>
      </c>
      <c r="G31">
        <v>-32.589025999999897</v>
      </c>
      <c r="J31">
        <v>0</v>
      </c>
      <c r="L31">
        <v>1825.6755319999997</v>
      </c>
      <c r="N31">
        <v>73.603439999999992</v>
      </c>
      <c r="O31">
        <v>1343.825116</v>
      </c>
      <c r="P31">
        <v>12.394080000000001</v>
      </c>
      <c r="Q31">
        <v>39.863999999999997</v>
      </c>
      <c r="R31">
        <v>26.817599999999999</v>
      </c>
      <c r="S31">
        <v>28.992000000000001</v>
      </c>
      <c r="T31">
        <v>155.36528000000007</v>
      </c>
      <c r="U31">
        <v>341.73030200000005</v>
      </c>
      <c r="V31" s="3">
        <f t="shared" si="0"/>
        <v>4227.6459880000002</v>
      </c>
      <c r="W31" s="3">
        <f t="shared" si="1"/>
        <v>4227.6459880000002</v>
      </c>
      <c r="X31" s="3">
        <f t="shared" si="2"/>
        <v>0</v>
      </c>
    </row>
    <row r="32" spans="1:24" x14ac:dyDescent="0.15">
      <c r="B32" s="3">
        <f>SUM(B2:B31)</f>
        <v>202941.633379954</v>
      </c>
      <c r="C32" s="3">
        <f t="shared" ref="C32:U32" si="3">SUM(C2:C31)</f>
        <v>96737.49486779068</v>
      </c>
      <c r="D32" s="3">
        <f t="shared" si="3"/>
        <v>4163.6648656999996</v>
      </c>
      <c r="E32" s="3">
        <f t="shared" si="3"/>
        <v>146611.30938579992</v>
      </c>
      <c r="F32" s="3">
        <f t="shared" si="3"/>
        <v>3319.4708671199996</v>
      </c>
      <c r="G32" s="3">
        <f t="shared" si="3"/>
        <v>-7722.6298311879946</v>
      </c>
      <c r="H32" s="3">
        <f t="shared" si="3"/>
        <v>0</v>
      </c>
      <c r="I32" s="3">
        <f t="shared" si="3"/>
        <v>0</v>
      </c>
      <c r="J32" s="3">
        <f t="shared" si="3"/>
        <v>-127.06601694</v>
      </c>
      <c r="K32" s="3">
        <f t="shared" si="3"/>
        <v>0</v>
      </c>
      <c r="L32" s="3">
        <f t="shared" si="3"/>
        <v>113835.85703483253</v>
      </c>
      <c r="M32" s="3">
        <f t="shared" si="3"/>
        <v>0</v>
      </c>
      <c r="N32" s="3">
        <f t="shared" si="3"/>
        <v>1894.1210088800005</v>
      </c>
      <c r="O32" s="3">
        <f t="shared" si="3"/>
        <v>98865.908049042482</v>
      </c>
      <c r="P32" s="3">
        <f t="shared" si="3"/>
        <v>586.60096883999995</v>
      </c>
      <c r="Q32" s="3">
        <f t="shared" si="3"/>
        <v>840.49005425439987</v>
      </c>
      <c r="R32" s="3">
        <f t="shared" si="3"/>
        <v>1626.1660666</v>
      </c>
      <c r="S32" s="3">
        <f t="shared" si="3"/>
        <v>1313.7286136600003</v>
      </c>
      <c r="T32" s="3">
        <f t="shared" si="3"/>
        <v>7690.1048420800034</v>
      </c>
      <c r="U32" s="3">
        <f t="shared" si="3"/>
        <v>17722.713485312601</v>
      </c>
      <c r="V32" s="3">
        <f>SUM(V2:V31)</f>
        <v>345149.78380168573</v>
      </c>
    </row>
    <row r="33" spans="1:22" x14ac:dyDescent="0.15">
      <c r="A33" s="1" t="s">
        <v>11</v>
      </c>
      <c r="K33" s="3"/>
      <c r="V33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3"/>
  <sheetViews>
    <sheetView zoomScale="70" zoomScaleNormal="70" workbookViewId="0">
      <selection activeCell="A2" sqref="A2:A31"/>
    </sheetView>
  </sheetViews>
  <sheetFormatPr defaultRowHeight="13.5" x14ac:dyDescent="0.15"/>
  <sheetData>
    <row r="1" spans="1:24" x14ac:dyDescent="0.15">
      <c r="B1" s="19" t="s">
        <v>0</v>
      </c>
      <c r="C1" t="s">
        <v>1</v>
      </c>
      <c r="D1" t="s">
        <v>2</v>
      </c>
      <c r="E1" t="s">
        <v>4</v>
      </c>
      <c r="F1" t="s">
        <v>3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5</v>
      </c>
      <c r="O1" t="s">
        <v>6</v>
      </c>
      <c r="P1" t="s">
        <v>7</v>
      </c>
      <c r="Q1" t="s">
        <v>122</v>
      </c>
      <c r="R1" t="s">
        <v>10</v>
      </c>
      <c r="S1" t="s">
        <v>8</v>
      </c>
      <c r="T1" t="s">
        <v>9</v>
      </c>
      <c r="U1" t="s">
        <v>118</v>
      </c>
    </row>
    <row r="2" spans="1:24" x14ac:dyDescent="0.15">
      <c r="A2" s="1" t="s">
        <v>160</v>
      </c>
      <c r="B2" s="3">
        <v>67.258487999999929</v>
      </c>
      <c r="C2">
        <v>1.4285999999915318E-2</v>
      </c>
      <c r="D2">
        <v>0</v>
      </c>
      <c r="E2">
        <v>862.54582200000004</v>
      </c>
      <c r="F2">
        <v>502.82434200000006</v>
      </c>
      <c r="G2">
        <v>0</v>
      </c>
      <c r="H2">
        <v>0</v>
      </c>
      <c r="I2">
        <v>0</v>
      </c>
      <c r="J2">
        <v>1358.470026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74.14434</v>
      </c>
      <c r="V2" s="3">
        <f>B2+E2+F2+I2</f>
        <v>1432.6286520000001</v>
      </c>
      <c r="W2" s="3">
        <f>C2+D2+SUM(G2:U2)-I2</f>
        <v>1432.6286519999999</v>
      </c>
      <c r="X2" s="3">
        <f>V2-W2</f>
        <v>0</v>
      </c>
    </row>
    <row r="3" spans="1:24" x14ac:dyDescent="0.15">
      <c r="A3" s="1" t="s">
        <v>161</v>
      </c>
      <c r="B3">
        <v>2867.0859120000005</v>
      </c>
      <c r="C3">
        <v>1883.6948159999999</v>
      </c>
      <c r="D3">
        <v>268.43394000000001</v>
      </c>
      <c r="E3">
        <v>70.672842000000003</v>
      </c>
      <c r="F3">
        <v>718.15722000000005</v>
      </c>
      <c r="G3">
        <v>-4.8723904910730199E-13</v>
      </c>
      <c r="H3">
        <v>0</v>
      </c>
      <c r="I3">
        <v>0</v>
      </c>
      <c r="J3">
        <v>1340.0839440000002</v>
      </c>
      <c r="K3">
        <v>0</v>
      </c>
      <c r="L3">
        <v>0</v>
      </c>
      <c r="M3">
        <v>0</v>
      </c>
      <c r="N3">
        <v>0</v>
      </c>
      <c r="O3">
        <v>17.286059999999999</v>
      </c>
      <c r="P3">
        <v>0</v>
      </c>
      <c r="Q3">
        <v>0</v>
      </c>
      <c r="R3">
        <v>0</v>
      </c>
      <c r="S3">
        <v>0</v>
      </c>
      <c r="T3">
        <v>0</v>
      </c>
      <c r="U3">
        <v>146.417214</v>
      </c>
      <c r="V3" s="3">
        <f t="shared" ref="V3:V31" si="0">B3+E3+F3+I3</f>
        <v>3655.9159740000005</v>
      </c>
      <c r="W3" s="3">
        <f t="shared" ref="W3:W31" si="1">C3+D3+SUM(G3:U3)-I3</f>
        <v>3655.9159739999996</v>
      </c>
      <c r="X3" s="3">
        <f t="shared" ref="X3:X31" si="2">V3-W3</f>
        <v>0</v>
      </c>
    </row>
    <row r="4" spans="1:24" x14ac:dyDescent="0.15">
      <c r="A4" s="1" t="s">
        <v>162</v>
      </c>
      <c r="B4">
        <v>995.26276199999995</v>
      </c>
      <c r="C4">
        <v>200.13257400000001</v>
      </c>
      <c r="D4">
        <v>0</v>
      </c>
      <c r="E4">
        <v>410.79596718360028</v>
      </c>
      <c r="F4">
        <v>465.25216200000006</v>
      </c>
      <c r="G4">
        <v>0</v>
      </c>
      <c r="H4">
        <v>0</v>
      </c>
      <c r="I4">
        <v>0</v>
      </c>
      <c r="J4">
        <v>1555.359678</v>
      </c>
      <c r="K4">
        <v>0</v>
      </c>
      <c r="L4">
        <v>0</v>
      </c>
      <c r="M4">
        <v>0</v>
      </c>
      <c r="N4">
        <v>0</v>
      </c>
      <c r="O4">
        <v>51.488781183600025</v>
      </c>
      <c r="P4">
        <v>0</v>
      </c>
      <c r="Q4">
        <v>0</v>
      </c>
      <c r="R4">
        <v>0</v>
      </c>
      <c r="S4">
        <v>0</v>
      </c>
      <c r="T4">
        <v>0</v>
      </c>
      <c r="U4">
        <v>64.329858000000002</v>
      </c>
      <c r="V4" s="3">
        <f t="shared" si="0"/>
        <v>1871.3108911836002</v>
      </c>
      <c r="W4" s="3">
        <f t="shared" si="1"/>
        <v>1871.3108911836</v>
      </c>
      <c r="X4" s="3">
        <f t="shared" si="2"/>
        <v>0</v>
      </c>
    </row>
    <row r="5" spans="1:24" x14ac:dyDescent="0.15">
      <c r="A5" s="1" t="s">
        <v>163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0</v>
      </c>
      <c r="W5" s="3">
        <f t="shared" si="1"/>
        <v>0</v>
      </c>
      <c r="X5" s="3">
        <f t="shared" si="2"/>
        <v>0</v>
      </c>
    </row>
    <row r="6" spans="1:24" x14ac:dyDescent="0.15">
      <c r="A6" s="1" t="s">
        <v>164</v>
      </c>
      <c r="B6">
        <v>256.17598056000003</v>
      </c>
      <c r="C6">
        <v>123.98819400000002</v>
      </c>
      <c r="D6">
        <v>0</v>
      </c>
      <c r="E6">
        <v>3.5714999999764503E-3</v>
      </c>
      <c r="F6">
        <v>85.70171400000001</v>
      </c>
      <c r="G6">
        <v>0</v>
      </c>
      <c r="H6">
        <v>0</v>
      </c>
      <c r="I6">
        <v>0</v>
      </c>
      <c r="J6">
        <v>190.06865844000001</v>
      </c>
      <c r="K6">
        <v>0</v>
      </c>
      <c r="L6">
        <v>0</v>
      </c>
      <c r="M6">
        <v>0</v>
      </c>
      <c r="N6">
        <v>0</v>
      </c>
      <c r="O6">
        <v>13.968565079999999</v>
      </c>
      <c r="P6">
        <v>0</v>
      </c>
      <c r="Q6">
        <v>0</v>
      </c>
      <c r="R6">
        <v>0</v>
      </c>
      <c r="S6">
        <v>0</v>
      </c>
      <c r="T6">
        <v>0</v>
      </c>
      <c r="U6">
        <v>13.85584854</v>
      </c>
      <c r="V6" s="3">
        <f t="shared" si="0"/>
        <v>341.88126606000003</v>
      </c>
      <c r="W6" s="3">
        <f t="shared" si="1"/>
        <v>341.88126606000003</v>
      </c>
      <c r="X6" s="3">
        <f t="shared" si="2"/>
        <v>0</v>
      </c>
    </row>
    <row r="7" spans="1:24" x14ac:dyDescent="0.15">
      <c r="A7" s="2" t="s">
        <v>165</v>
      </c>
      <c r="B7">
        <v>2033.2692360000001</v>
      </c>
      <c r="C7">
        <v>5.7144000000000004</v>
      </c>
      <c r="D7">
        <v>17.471778</v>
      </c>
      <c r="E7">
        <v>5089.9589400000004</v>
      </c>
      <c r="F7">
        <v>1637.1756</v>
      </c>
      <c r="G7">
        <v>0</v>
      </c>
      <c r="H7">
        <v>0</v>
      </c>
      <c r="I7">
        <v>0</v>
      </c>
      <c r="J7">
        <v>8114.1337080000012</v>
      </c>
      <c r="K7">
        <v>0</v>
      </c>
      <c r="L7">
        <v>1.200024</v>
      </c>
      <c r="M7">
        <v>0</v>
      </c>
      <c r="N7">
        <v>0</v>
      </c>
      <c r="O7">
        <v>288.34862400000003</v>
      </c>
      <c r="P7">
        <v>0</v>
      </c>
      <c r="Q7">
        <v>0</v>
      </c>
      <c r="R7">
        <v>0</v>
      </c>
      <c r="S7">
        <v>15.714600000000001</v>
      </c>
      <c r="T7">
        <v>0</v>
      </c>
      <c r="U7">
        <v>317.82064200000002</v>
      </c>
      <c r="V7" s="3">
        <f t="shared" si="0"/>
        <v>8760.403776000001</v>
      </c>
      <c r="W7" s="3">
        <f t="shared" si="1"/>
        <v>8760.403776000001</v>
      </c>
      <c r="X7" s="3">
        <f t="shared" si="2"/>
        <v>0</v>
      </c>
    </row>
    <row r="8" spans="1:24" x14ac:dyDescent="0.15">
      <c r="A8" s="1" t="s">
        <v>166</v>
      </c>
      <c r="B8">
        <v>927.81855600000006</v>
      </c>
      <c r="C8">
        <v>0</v>
      </c>
      <c r="D8">
        <v>0</v>
      </c>
      <c r="E8">
        <v>528.02627459999997</v>
      </c>
      <c r="F8">
        <v>0</v>
      </c>
      <c r="G8">
        <v>0</v>
      </c>
      <c r="H8">
        <v>0</v>
      </c>
      <c r="I8">
        <v>0</v>
      </c>
      <c r="J8">
        <v>937.59018000000003</v>
      </c>
      <c r="K8">
        <v>0</v>
      </c>
      <c r="L8">
        <v>0</v>
      </c>
      <c r="M8">
        <v>0</v>
      </c>
      <c r="N8">
        <v>0</v>
      </c>
      <c r="O8">
        <v>471.12513660000002</v>
      </c>
      <c r="P8">
        <v>0</v>
      </c>
      <c r="Q8">
        <v>0</v>
      </c>
      <c r="R8">
        <v>0</v>
      </c>
      <c r="S8">
        <v>0</v>
      </c>
      <c r="T8">
        <v>0</v>
      </c>
      <c r="U8">
        <v>47.129514000000007</v>
      </c>
      <c r="V8" s="3">
        <f t="shared" si="0"/>
        <v>1455.8448306</v>
      </c>
      <c r="W8" s="3">
        <f t="shared" si="1"/>
        <v>1455.8448306</v>
      </c>
      <c r="X8" s="3">
        <f t="shared" si="2"/>
        <v>0</v>
      </c>
    </row>
    <row r="9" spans="1:24" x14ac:dyDescent="0.15">
      <c r="A9" s="1" t="s">
        <v>167</v>
      </c>
      <c r="B9">
        <v>6028.1634180000001</v>
      </c>
      <c r="C9">
        <v>3629.2582980000002</v>
      </c>
      <c r="D9">
        <v>0</v>
      </c>
      <c r="E9">
        <v>118.38808200000001</v>
      </c>
      <c r="F9">
        <v>253.14792</v>
      </c>
      <c r="G9">
        <v>0</v>
      </c>
      <c r="H9">
        <v>0</v>
      </c>
      <c r="I9">
        <v>0</v>
      </c>
      <c r="J9">
        <v>2274.1740540000001</v>
      </c>
      <c r="K9">
        <v>0</v>
      </c>
      <c r="L9">
        <v>0</v>
      </c>
      <c r="M9">
        <v>0</v>
      </c>
      <c r="N9">
        <v>0</v>
      </c>
      <c r="O9">
        <v>420.194118</v>
      </c>
      <c r="P9">
        <v>0</v>
      </c>
      <c r="Q9">
        <v>0</v>
      </c>
      <c r="R9">
        <v>0</v>
      </c>
      <c r="S9">
        <v>0</v>
      </c>
      <c r="T9">
        <v>0</v>
      </c>
      <c r="U9">
        <v>76.072950000000006</v>
      </c>
      <c r="V9" s="3">
        <f t="shared" si="0"/>
        <v>6399.6994200000008</v>
      </c>
      <c r="W9" s="3">
        <f t="shared" si="1"/>
        <v>6399.6994200000008</v>
      </c>
      <c r="X9" s="3">
        <f t="shared" si="2"/>
        <v>0</v>
      </c>
    </row>
    <row r="10" spans="1:24" x14ac:dyDescent="0.15">
      <c r="A10" s="1" t="s">
        <v>168</v>
      </c>
      <c r="B10">
        <v>119.93096999999973</v>
      </c>
      <c r="C10">
        <v>11.057364000000002</v>
      </c>
      <c r="D10">
        <v>0</v>
      </c>
      <c r="E10">
        <v>245.17633200000003</v>
      </c>
      <c r="F10">
        <v>2220.387264</v>
      </c>
      <c r="G10">
        <v>0</v>
      </c>
      <c r="H10">
        <v>0</v>
      </c>
      <c r="I10">
        <v>0</v>
      </c>
      <c r="J10">
        <v>2456.577702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117.85950000000001</v>
      </c>
      <c r="V10" s="3">
        <f t="shared" si="0"/>
        <v>2585.4945659999998</v>
      </c>
      <c r="W10" s="3">
        <f t="shared" si="1"/>
        <v>2585.4945659999998</v>
      </c>
      <c r="X10" s="3">
        <f t="shared" si="2"/>
        <v>0</v>
      </c>
    </row>
    <row r="11" spans="1:24" x14ac:dyDescent="0.15">
      <c r="A11" s="1" t="s">
        <v>169</v>
      </c>
      <c r="B11">
        <v>364.56443400000012</v>
      </c>
      <c r="C11">
        <v>28.543428000000002</v>
      </c>
      <c r="D11">
        <v>0</v>
      </c>
      <c r="E11">
        <v>1079.4501600000001</v>
      </c>
      <c r="F11">
        <v>2163.6289860000002</v>
      </c>
      <c r="G11">
        <v>0</v>
      </c>
      <c r="H11">
        <v>0</v>
      </c>
      <c r="I11">
        <v>0</v>
      </c>
      <c r="J11">
        <v>3483.7696740000006</v>
      </c>
      <c r="K11">
        <v>0</v>
      </c>
      <c r="L11">
        <v>0</v>
      </c>
      <c r="M11">
        <v>0</v>
      </c>
      <c r="N11">
        <v>0</v>
      </c>
      <c r="O11">
        <v>22.014726000000003</v>
      </c>
      <c r="P11">
        <v>0</v>
      </c>
      <c r="Q11">
        <v>0</v>
      </c>
      <c r="R11">
        <v>0</v>
      </c>
      <c r="S11">
        <v>0</v>
      </c>
      <c r="T11">
        <v>0</v>
      </c>
      <c r="U11">
        <v>73.315752000000003</v>
      </c>
      <c r="V11" s="3">
        <f t="shared" si="0"/>
        <v>3607.6435800000004</v>
      </c>
      <c r="W11" s="3">
        <f t="shared" si="1"/>
        <v>3607.6435800000004</v>
      </c>
      <c r="X11" s="3">
        <f t="shared" si="2"/>
        <v>0</v>
      </c>
    </row>
    <row r="12" spans="1:24" x14ac:dyDescent="0.15">
      <c r="A12" s="1" t="s">
        <v>170</v>
      </c>
      <c r="B12">
        <v>118.7023740000004</v>
      </c>
      <c r="C12">
        <v>6.5715600001652582E-3</v>
      </c>
      <c r="D12">
        <v>0</v>
      </c>
      <c r="E12">
        <v>639.84136799999999</v>
      </c>
      <c r="F12">
        <v>2559.1583250000003</v>
      </c>
      <c r="G12">
        <v>0</v>
      </c>
      <c r="H12">
        <v>0</v>
      </c>
      <c r="I12">
        <v>0</v>
      </c>
      <c r="J12">
        <v>3190.6670977800004</v>
      </c>
      <c r="K12">
        <v>0</v>
      </c>
      <c r="L12">
        <v>21.644575740000001</v>
      </c>
      <c r="M12">
        <v>0</v>
      </c>
      <c r="N12">
        <v>0</v>
      </c>
      <c r="O12">
        <v>0.22957602000000002</v>
      </c>
      <c r="P12">
        <v>0</v>
      </c>
      <c r="Q12">
        <v>0</v>
      </c>
      <c r="R12">
        <v>0</v>
      </c>
      <c r="S12">
        <v>0</v>
      </c>
      <c r="T12">
        <v>0</v>
      </c>
      <c r="U12">
        <v>105.15424590000001</v>
      </c>
      <c r="V12" s="3">
        <f t="shared" si="0"/>
        <v>3317.7020670000006</v>
      </c>
      <c r="W12" s="3">
        <f t="shared" si="1"/>
        <v>3317.7020670000011</v>
      </c>
      <c r="X12" s="3">
        <f t="shared" si="2"/>
        <v>0</v>
      </c>
    </row>
    <row r="13" spans="1:24" x14ac:dyDescent="0.15">
      <c r="A13" s="1" t="s">
        <v>171</v>
      </c>
      <c r="B13">
        <v>13.557414000000019</v>
      </c>
      <c r="C13">
        <v>1.8143220000000198</v>
      </c>
      <c r="D13">
        <v>0</v>
      </c>
      <c r="E13">
        <v>389.82208200000002</v>
      </c>
      <c r="F13">
        <v>249.46213200000003</v>
      </c>
      <c r="G13">
        <v>0</v>
      </c>
      <c r="H13">
        <v>0</v>
      </c>
      <c r="I13">
        <v>0</v>
      </c>
      <c r="J13">
        <v>639.28421400000002</v>
      </c>
      <c r="K13">
        <v>0</v>
      </c>
      <c r="L13">
        <v>0</v>
      </c>
      <c r="M13">
        <v>0</v>
      </c>
      <c r="N13">
        <v>0</v>
      </c>
      <c r="O13">
        <v>5.1286740000000002</v>
      </c>
      <c r="P13">
        <v>0</v>
      </c>
      <c r="Q13">
        <v>0</v>
      </c>
      <c r="R13">
        <v>0</v>
      </c>
      <c r="S13">
        <v>0</v>
      </c>
      <c r="T13">
        <v>0</v>
      </c>
      <c r="U13">
        <v>6.6144180000000006</v>
      </c>
      <c r="V13" s="3">
        <f t="shared" si="0"/>
        <v>652.84162800000001</v>
      </c>
      <c r="W13" s="3">
        <f t="shared" si="1"/>
        <v>652.84162800000013</v>
      </c>
      <c r="X13" s="3">
        <f t="shared" si="2"/>
        <v>0</v>
      </c>
    </row>
    <row r="14" spans="1:24" x14ac:dyDescent="0.15">
      <c r="A14" s="1" t="s">
        <v>172</v>
      </c>
      <c r="B14">
        <v>31.657775999999963</v>
      </c>
      <c r="C14">
        <v>0</v>
      </c>
      <c r="D14">
        <v>0</v>
      </c>
      <c r="E14">
        <v>495.88134600000006</v>
      </c>
      <c r="F14">
        <v>0</v>
      </c>
      <c r="G14">
        <v>0</v>
      </c>
      <c r="H14">
        <v>0</v>
      </c>
      <c r="I14">
        <v>0</v>
      </c>
      <c r="J14">
        <v>503.338638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24.200484000000003</v>
      </c>
      <c r="V14" s="3">
        <f t="shared" si="0"/>
        <v>527.53912200000002</v>
      </c>
      <c r="W14" s="3">
        <f t="shared" si="1"/>
        <v>527.53912200000002</v>
      </c>
      <c r="X14" s="3">
        <f t="shared" si="2"/>
        <v>0</v>
      </c>
    </row>
    <row r="15" spans="1:24" x14ac:dyDescent="0.15">
      <c r="A15" s="1" t="s">
        <v>173</v>
      </c>
      <c r="B15">
        <v>14.957442000000034</v>
      </c>
      <c r="C15">
        <v>0</v>
      </c>
      <c r="D15">
        <v>0</v>
      </c>
      <c r="E15">
        <v>347.96410200000003</v>
      </c>
      <c r="F15">
        <v>213.28998000000004</v>
      </c>
      <c r="G15">
        <v>0</v>
      </c>
      <c r="H15">
        <v>0</v>
      </c>
      <c r="I15">
        <v>0</v>
      </c>
      <c r="J15">
        <v>566.39704199999994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9.8144819999999999</v>
      </c>
      <c r="V15" s="3">
        <f t="shared" si="0"/>
        <v>576.21152400000005</v>
      </c>
      <c r="W15" s="3">
        <f t="shared" si="1"/>
        <v>576.21152399999994</v>
      </c>
      <c r="X15" s="3">
        <f t="shared" si="2"/>
        <v>0</v>
      </c>
    </row>
    <row r="16" spans="1:24" x14ac:dyDescent="0.15">
      <c r="A16" s="1" t="s">
        <v>174</v>
      </c>
      <c r="B16">
        <v>4186.5837299999994</v>
      </c>
      <c r="C16">
        <v>2285.7600000000002</v>
      </c>
      <c r="D16">
        <v>0</v>
      </c>
      <c r="E16">
        <v>1559.1804687000003</v>
      </c>
      <c r="F16">
        <v>2571.48</v>
      </c>
      <c r="G16">
        <v>0</v>
      </c>
      <c r="H16">
        <v>0</v>
      </c>
      <c r="I16">
        <v>0</v>
      </c>
      <c r="J16">
        <v>5622.9981720000005</v>
      </c>
      <c r="K16">
        <v>0</v>
      </c>
      <c r="L16">
        <v>0</v>
      </c>
      <c r="M16">
        <v>0</v>
      </c>
      <c r="N16">
        <v>0</v>
      </c>
      <c r="O16">
        <v>199.50451143899932</v>
      </c>
      <c r="P16">
        <v>0</v>
      </c>
      <c r="Q16">
        <v>0</v>
      </c>
      <c r="R16">
        <v>0</v>
      </c>
      <c r="S16">
        <v>0</v>
      </c>
      <c r="T16">
        <v>0</v>
      </c>
      <c r="U16">
        <v>208.981515261</v>
      </c>
      <c r="V16" s="3">
        <f t="shared" si="0"/>
        <v>8317.2441987000002</v>
      </c>
      <c r="W16" s="3">
        <f t="shared" si="1"/>
        <v>8317.2441987000002</v>
      </c>
      <c r="X16" s="3">
        <f t="shared" si="2"/>
        <v>0</v>
      </c>
    </row>
    <row r="17" spans="1:24" x14ac:dyDescent="0.15">
      <c r="A17" s="1" t="s">
        <v>175</v>
      </c>
      <c r="B17">
        <v>751.17216600000017</v>
      </c>
      <c r="C17">
        <v>180.68932800000002</v>
      </c>
      <c r="D17">
        <v>0</v>
      </c>
      <c r="E17">
        <v>158.00315999999987</v>
      </c>
      <c r="F17">
        <v>322.86360000000002</v>
      </c>
      <c r="G17">
        <v>0</v>
      </c>
      <c r="H17">
        <v>0</v>
      </c>
      <c r="I17">
        <v>0</v>
      </c>
      <c r="J17">
        <v>994.60560599999997</v>
      </c>
      <c r="K17">
        <v>0</v>
      </c>
      <c r="L17">
        <v>0.61429800000000001</v>
      </c>
      <c r="M17">
        <v>0</v>
      </c>
      <c r="N17">
        <v>0</v>
      </c>
      <c r="O17">
        <v>24.557634000000004</v>
      </c>
      <c r="P17">
        <v>0</v>
      </c>
      <c r="Q17">
        <v>0</v>
      </c>
      <c r="R17">
        <v>0</v>
      </c>
      <c r="S17">
        <v>0</v>
      </c>
      <c r="T17">
        <v>0</v>
      </c>
      <c r="U17">
        <v>31.572060000000004</v>
      </c>
      <c r="V17" s="3">
        <f t="shared" si="0"/>
        <v>1232.0389260000002</v>
      </c>
      <c r="W17" s="3">
        <f t="shared" si="1"/>
        <v>1232.0389259999999</v>
      </c>
      <c r="X17" s="3">
        <f t="shared" si="2"/>
        <v>0</v>
      </c>
    </row>
    <row r="18" spans="1:24" x14ac:dyDescent="0.15">
      <c r="A18" s="1" t="s">
        <v>176</v>
      </c>
      <c r="B18">
        <v>185.96086200000005</v>
      </c>
      <c r="C18">
        <v>0</v>
      </c>
      <c r="D18">
        <v>0</v>
      </c>
      <c r="E18">
        <v>1150.423008</v>
      </c>
      <c r="F18">
        <v>0</v>
      </c>
      <c r="G18">
        <v>0</v>
      </c>
      <c r="H18">
        <v>0</v>
      </c>
      <c r="I18">
        <v>0</v>
      </c>
      <c r="J18">
        <v>1286.3685840000001</v>
      </c>
      <c r="K18">
        <v>0</v>
      </c>
      <c r="L18">
        <v>0</v>
      </c>
      <c r="M18">
        <v>0</v>
      </c>
      <c r="N18">
        <v>0</v>
      </c>
      <c r="O18">
        <v>13.657416000000001</v>
      </c>
      <c r="P18">
        <v>0</v>
      </c>
      <c r="Q18">
        <v>0</v>
      </c>
      <c r="R18">
        <v>0</v>
      </c>
      <c r="S18">
        <v>0</v>
      </c>
      <c r="T18">
        <v>0</v>
      </c>
      <c r="U18">
        <v>36.357869999999998</v>
      </c>
      <c r="V18" s="3">
        <f t="shared" si="0"/>
        <v>1336.3838700000001</v>
      </c>
      <c r="W18" s="3">
        <f t="shared" si="1"/>
        <v>1336.3838700000001</v>
      </c>
      <c r="X18" s="3">
        <f t="shared" si="2"/>
        <v>0</v>
      </c>
    </row>
    <row r="19" spans="1:24" x14ac:dyDescent="0.15">
      <c r="A19" s="1" t="s">
        <v>177</v>
      </c>
      <c r="B19">
        <v>47.429519999999904</v>
      </c>
      <c r="C19">
        <v>0</v>
      </c>
      <c r="D19">
        <v>0</v>
      </c>
      <c r="E19">
        <v>645.32719200000008</v>
      </c>
      <c r="F19">
        <v>288.26290800000004</v>
      </c>
      <c r="G19">
        <v>0</v>
      </c>
      <c r="H19">
        <v>0</v>
      </c>
      <c r="I19">
        <v>0</v>
      </c>
      <c r="J19">
        <v>953.40478200000007</v>
      </c>
      <c r="K19">
        <v>0</v>
      </c>
      <c r="L19">
        <v>0</v>
      </c>
      <c r="M19">
        <v>0</v>
      </c>
      <c r="N19">
        <v>0</v>
      </c>
      <c r="O19">
        <v>6.1429800000000006</v>
      </c>
      <c r="P19">
        <v>0</v>
      </c>
      <c r="Q19">
        <v>0</v>
      </c>
      <c r="R19">
        <v>0</v>
      </c>
      <c r="S19">
        <v>0</v>
      </c>
      <c r="T19">
        <v>0</v>
      </c>
      <c r="U19">
        <v>21.471858000000001</v>
      </c>
      <c r="V19" s="3">
        <f t="shared" si="0"/>
        <v>981.01962000000003</v>
      </c>
      <c r="W19" s="3">
        <f t="shared" si="1"/>
        <v>981.01962000000003</v>
      </c>
      <c r="X19" s="3">
        <f t="shared" si="2"/>
        <v>0</v>
      </c>
    </row>
    <row r="20" spans="1:24" x14ac:dyDescent="0.15">
      <c r="A20" s="1" t="s">
        <v>178</v>
      </c>
      <c r="B20">
        <v>2041.2122520000003</v>
      </c>
      <c r="C20">
        <v>0</v>
      </c>
      <c r="D20">
        <v>22.214730000000003</v>
      </c>
      <c r="E20">
        <v>516.75319200000013</v>
      </c>
      <c r="F20">
        <v>1840.8082440000001</v>
      </c>
      <c r="G20">
        <v>0</v>
      </c>
      <c r="H20">
        <v>0</v>
      </c>
      <c r="I20">
        <v>0</v>
      </c>
      <c r="J20">
        <v>4170.1976880000002</v>
      </c>
      <c r="K20">
        <v>0</v>
      </c>
      <c r="L20">
        <v>0</v>
      </c>
      <c r="M20">
        <v>0</v>
      </c>
      <c r="N20">
        <v>0</v>
      </c>
      <c r="O20">
        <v>30.029172000000003</v>
      </c>
      <c r="P20">
        <v>0</v>
      </c>
      <c r="Q20">
        <v>0</v>
      </c>
      <c r="R20">
        <v>0</v>
      </c>
      <c r="S20">
        <v>0</v>
      </c>
      <c r="T20">
        <v>0</v>
      </c>
      <c r="U20">
        <v>176.33209800000003</v>
      </c>
      <c r="V20" s="3">
        <f t="shared" si="0"/>
        <v>4398.7736880000002</v>
      </c>
      <c r="W20" s="3">
        <f t="shared" si="1"/>
        <v>4398.7736879999993</v>
      </c>
      <c r="X20" s="3">
        <f t="shared" si="2"/>
        <v>0</v>
      </c>
    </row>
    <row r="21" spans="1:24" x14ac:dyDescent="0.15">
      <c r="A21" s="1" t="s">
        <v>179</v>
      </c>
      <c r="B21">
        <v>22.466449320000027</v>
      </c>
      <c r="C21">
        <v>0</v>
      </c>
      <c r="D21">
        <v>0</v>
      </c>
      <c r="E21">
        <v>205.25239068000002</v>
      </c>
      <c r="F21">
        <v>0</v>
      </c>
      <c r="G21">
        <v>0</v>
      </c>
      <c r="H21">
        <v>0</v>
      </c>
      <c r="I21">
        <v>0</v>
      </c>
      <c r="J21">
        <v>218.20436400000003</v>
      </c>
      <c r="K21">
        <v>0</v>
      </c>
      <c r="L21">
        <v>0</v>
      </c>
      <c r="M21">
        <v>0</v>
      </c>
      <c r="N21">
        <v>0</v>
      </c>
      <c r="O21">
        <v>0.342864</v>
      </c>
      <c r="P21">
        <v>0</v>
      </c>
      <c r="Q21">
        <v>0</v>
      </c>
      <c r="R21">
        <v>0</v>
      </c>
      <c r="S21">
        <v>0</v>
      </c>
      <c r="T21">
        <v>0</v>
      </c>
      <c r="U21">
        <v>9.1716119999999997</v>
      </c>
      <c r="V21" s="3">
        <f t="shared" si="0"/>
        <v>227.71884000000006</v>
      </c>
      <c r="W21" s="3">
        <f t="shared" si="1"/>
        <v>227.71884000000003</v>
      </c>
      <c r="X21" s="3">
        <f t="shared" si="2"/>
        <v>0</v>
      </c>
    </row>
    <row r="22" spans="1:24" x14ac:dyDescent="0.15">
      <c r="A22" s="1" t="s">
        <v>180</v>
      </c>
      <c r="B22">
        <v>15.22887599999989</v>
      </c>
      <c r="C22">
        <v>0</v>
      </c>
      <c r="D22">
        <v>0</v>
      </c>
      <c r="E22">
        <v>115.11658799999998</v>
      </c>
      <c r="F22">
        <v>1021.4347140000001</v>
      </c>
      <c r="G22">
        <v>0</v>
      </c>
      <c r="H22">
        <v>0</v>
      </c>
      <c r="I22">
        <v>0</v>
      </c>
      <c r="J22">
        <v>1161.6089459999998</v>
      </c>
      <c r="K22">
        <v>0</v>
      </c>
      <c r="L22">
        <v>0</v>
      </c>
      <c r="M22">
        <v>0</v>
      </c>
      <c r="N22">
        <v>0</v>
      </c>
      <c r="O22">
        <v>4.5286620000000006</v>
      </c>
      <c r="P22">
        <v>0</v>
      </c>
      <c r="Q22">
        <v>0</v>
      </c>
      <c r="R22">
        <v>0</v>
      </c>
      <c r="S22">
        <v>0</v>
      </c>
      <c r="T22">
        <v>0</v>
      </c>
      <c r="U22">
        <v>-14.357430000000003</v>
      </c>
      <c r="V22" s="3">
        <f t="shared" si="0"/>
        <v>1151.780178</v>
      </c>
      <c r="W22" s="3">
        <f t="shared" si="1"/>
        <v>1151.7801779999998</v>
      </c>
      <c r="X22" s="3">
        <f t="shared" si="2"/>
        <v>0</v>
      </c>
    </row>
    <row r="23" spans="1:24" x14ac:dyDescent="0.15">
      <c r="A23" s="1" t="s">
        <v>181</v>
      </c>
      <c r="B23">
        <v>0.27143400000000001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0.18571800000000002</v>
      </c>
      <c r="P23">
        <v>0</v>
      </c>
      <c r="Q23">
        <v>0</v>
      </c>
      <c r="R23">
        <v>0</v>
      </c>
      <c r="S23">
        <v>0</v>
      </c>
      <c r="T23">
        <v>0</v>
      </c>
      <c r="U23">
        <v>8.5716000000000001E-2</v>
      </c>
      <c r="V23" s="3">
        <f t="shared" si="0"/>
        <v>0.27143400000000001</v>
      </c>
      <c r="W23" s="3">
        <f t="shared" si="1"/>
        <v>0.27143400000000001</v>
      </c>
      <c r="X23" s="3">
        <f t="shared" si="2"/>
        <v>0</v>
      </c>
    </row>
    <row r="24" spans="1:24" x14ac:dyDescent="0.15">
      <c r="A24" s="1" t="s">
        <v>182</v>
      </c>
      <c r="B24">
        <v>25.914804000000004</v>
      </c>
      <c r="C24">
        <v>0</v>
      </c>
      <c r="D24">
        <v>0</v>
      </c>
      <c r="E24">
        <v>325.33507800000001</v>
      </c>
      <c r="F24">
        <v>0</v>
      </c>
      <c r="G24">
        <v>0</v>
      </c>
      <c r="H24">
        <v>0</v>
      </c>
      <c r="I24">
        <v>0</v>
      </c>
      <c r="J24">
        <v>339.07821000000001</v>
      </c>
      <c r="K24">
        <v>0</v>
      </c>
      <c r="L24">
        <v>0</v>
      </c>
      <c r="M24">
        <v>0</v>
      </c>
      <c r="N24">
        <v>0</v>
      </c>
      <c r="O24">
        <v>3.7143600000000006</v>
      </c>
      <c r="P24">
        <v>0</v>
      </c>
      <c r="Q24">
        <v>0</v>
      </c>
      <c r="R24">
        <v>0</v>
      </c>
      <c r="S24">
        <v>0</v>
      </c>
      <c r="T24">
        <v>0</v>
      </c>
      <c r="U24">
        <v>8.4573119999999999</v>
      </c>
      <c r="V24" s="3">
        <f t="shared" si="0"/>
        <v>351.24988200000001</v>
      </c>
      <c r="W24" s="3">
        <f t="shared" si="1"/>
        <v>351.24988200000001</v>
      </c>
      <c r="X24" s="3">
        <f t="shared" si="2"/>
        <v>0</v>
      </c>
    </row>
    <row r="25" spans="1:24" x14ac:dyDescent="0.15">
      <c r="A25" s="1" t="s">
        <v>183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0</v>
      </c>
      <c r="W25" s="3">
        <f t="shared" si="1"/>
        <v>0</v>
      </c>
      <c r="X25" s="3">
        <f t="shared" si="2"/>
        <v>0</v>
      </c>
    </row>
    <row r="26" spans="1:24" x14ac:dyDescent="0.15">
      <c r="A26" s="1" t="s">
        <v>184</v>
      </c>
      <c r="B26">
        <v>0.22857600000000003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0.15714600000000001</v>
      </c>
      <c r="P26">
        <v>0</v>
      </c>
      <c r="Q26">
        <v>0</v>
      </c>
      <c r="R26">
        <v>0</v>
      </c>
      <c r="S26">
        <v>0</v>
      </c>
      <c r="T26">
        <v>0</v>
      </c>
      <c r="U26">
        <v>7.1430000000000007E-2</v>
      </c>
      <c r="V26" s="3">
        <f t="shared" si="0"/>
        <v>0.22857600000000003</v>
      </c>
      <c r="W26" s="3">
        <f t="shared" si="1"/>
        <v>0.228576</v>
      </c>
      <c r="X26" s="3">
        <f t="shared" si="2"/>
        <v>0</v>
      </c>
    </row>
    <row r="27" spans="1:24" x14ac:dyDescent="0.15">
      <c r="A27" s="1" t="s">
        <v>185</v>
      </c>
      <c r="B27">
        <v>3276.1083780000004</v>
      </c>
      <c r="C27">
        <v>56.258268000000029</v>
      </c>
      <c r="D27">
        <v>457.15200000000004</v>
      </c>
      <c r="E27">
        <v>0</v>
      </c>
      <c r="F27">
        <v>0</v>
      </c>
      <c r="G27">
        <v>0</v>
      </c>
      <c r="H27">
        <v>0</v>
      </c>
      <c r="I27">
        <v>0</v>
      </c>
      <c r="J27">
        <v>2295.4030500000003</v>
      </c>
      <c r="K27">
        <v>0</v>
      </c>
      <c r="L27">
        <v>0</v>
      </c>
      <c r="M27">
        <v>0</v>
      </c>
      <c r="N27">
        <v>0</v>
      </c>
      <c r="O27">
        <v>3.0000600000000004</v>
      </c>
      <c r="P27">
        <v>0</v>
      </c>
      <c r="Q27">
        <v>0</v>
      </c>
      <c r="R27">
        <v>0</v>
      </c>
      <c r="S27">
        <v>0</v>
      </c>
      <c r="T27">
        <v>0</v>
      </c>
      <c r="U27">
        <v>464.29500000000002</v>
      </c>
      <c r="V27" s="3">
        <f t="shared" si="0"/>
        <v>3276.1083780000004</v>
      </c>
      <c r="W27" s="3">
        <f t="shared" si="1"/>
        <v>3276.1083780000004</v>
      </c>
      <c r="X27" s="3">
        <f t="shared" si="2"/>
        <v>0</v>
      </c>
    </row>
    <row r="28" spans="1:24" x14ac:dyDescent="0.15">
      <c r="A28" s="1" t="s">
        <v>186</v>
      </c>
      <c r="B28">
        <v>550.25386200000003</v>
      </c>
      <c r="C28">
        <v>0</v>
      </c>
      <c r="D28">
        <v>0</v>
      </c>
      <c r="E28">
        <v>1550.1738599999999</v>
      </c>
      <c r="F28">
        <v>0</v>
      </c>
      <c r="G28">
        <v>0</v>
      </c>
      <c r="H28">
        <v>0</v>
      </c>
      <c r="I28">
        <v>0</v>
      </c>
      <c r="J28">
        <v>2038.7979180000002</v>
      </c>
      <c r="K28">
        <v>0</v>
      </c>
      <c r="L28">
        <v>0</v>
      </c>
      <c r="M28">
        <v>0</v>
      </c>
      <c r="N28">
        <v>0</v>
      </c>
      <c r="O28">
        <v>8.2001640000000009</v>
      </c>
      <c r="P28">
        <v>0</v>
      </c>
      <c r="Q28">
        <v>0</v>
      </c>
      <c r="R28">
        <v>0</v>
      </c>
      <c r="S28">
        <v>0</v>
      </c>
      <c r="T28">
        <v>0</v>
      </c>
      <c r="U28">
        <v>53.429639999999999</v>
      </c>
      <c r="V28" s="3">
        <f t="shared" si="0"/>
        <v>2100.4277219999999</v>
      </c>
      <c r="W28" s="3">
        <f t="shared" si="1"/>
        <v>2100.4277220000004</v>
      </c>
      <c r="X28" s="3">
        <f t="shared" si="2"/>
        <v>0</v>
      </c>
    </row>
    <row r="29" spans="1:24" x14ac:dyDescent="0.15">
      <c r="A29" s="1" t="s">
        <v>187</v>
      </c>
      <c r="B29">
        <v>330.95561898</v>
      </c>
      <c r="C29">
        <v>160.02362898000001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152.51733600000003</v>
      </c>
      <c r="K29">
        <v>0</v>
      </c>
      <c r="L29">
        <v>0</v>
      </c>
      <c r="M29">
        <v>0</v>
      </c>
      <c r="N29">
        <v>0</v>
      </c>
      <c r="O29">
        <v>4.8429540000000006</v>
      </c>
      <c r="P29">
        <v>0</v>
      </c>
      <c r="Q29">
        <v>0</v>
      </c>
      <c r="R29">
        <v>0</v>
      </c>
      <c r="S29">
        <v>0</v>
      </c>
      <c r="T29">
        <v>0</v>
      </c>
      <c r="U29">
        <v>13.571700000000002</v>
      </c>
      <c r="V29" s="3">
        <f t="shared" si="0"/>
        <v>330.95561898</v>
      </c>
      <c r="W29" s="3">
        <f t="shared" si="1"/>
        <v>330.95561898000005</v>
      </c>
      <c r="X29" s="3">
        <f t="shared" si="2"/>
        <v>0</v>
      </c>
    </row>
    <row r="30" spans="1:24" x14ac:dyDescent="0.15">
      <c r="A30" s="1" t="s">
        <v>188</v>
      </c>
      <c r="B30">
        <v>17.178486420000009</v>
      </c>
      <c r="C30">
        <v>6.7144200000198795E-3</v>
      </c>
      <c r="D30">
        <v>0</v>
      </c>
      <c r="E30">
        <v>213.20426400000002</v>
      </c>
      <c r="F30">
        <v>0</v>
      </c>
      <c r="G30">
        <v>0</v>
      </c>
      <c r="H30">
        <v>0</v>
      </c>
      <c r="I30">
        <v>0</v>
      </c>
      <c r="J30">
        <v>223.975908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6.4001280000000014</v>
      </c>
      <c r="V30" s="3">
        <f t="shared" si="0"/>
        <v>230.38275042000004</v>
      </c>
      <c r="W30" s="3">
        <f t="shared" si="1"/>
        <v>230.38275042000001</v>
      </c>
      <c r="X30" s="3">
        <f t="shared" si="2"/>
        <v>0</v>
      </c>
    </row>
    <row r="31" spans="1:24" x14ac:dyDescent="0.15">
      <c r="A31" s="1" t="s">
        <v>189</v>
      </c>
      <c r="B31">
        <v>3925.8356580000004</v>
      </c>
      <c r="C31">
        <v>1349.3127000000002</v>
      </c>
      <c r="D31">
        <v>0</v>
      </c>
      <c r="E31">
        <v>0</v>
      </c>
      <c r="F31">
        <v>246.60493200000002</v>
      </c>
      <c r="G31">
        <v>0</v>
      </c>
      <c r="H31">
        <v>0</v>
      </c>
      <c r="I31">
        <v>0</v>
      </c>
      <c r="J31">
        <v>2563.8227040000002</v>
      </c>
      <c r="K31">
        <v>0</v>
      </c>
      <c r="L31">
        <v>0.12857399999999999</v>
      </c>
      <c r="M31">
        <v>0</v>
      </c>
      <c r="N31">
        <v>0</v>
      </c>
      <c r="O31">
        <v>112.34510400000001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146.83150800000001</v>
      </c>
      <c r="V31" s="3">
        <f t="shared" si="0"/>
        <v>4172.4405900000002</v>
      </c>
      <c r="W31" s="3">
        <f t="shared" si="1"/>
        <v>4172.4405900000002</v>
      </c>
      <c r="X31" s="3">
        <f t="shared" si="2"/>
        <v>0</v>
      </c>
    </row>
    <row r="32" spans="1:24" x14ac:dyDescent="0.15">
      <c r="B32" s="3">
        <f>SUM(B2:B31)</f>
        <v>29215.205435280008</v>
      </c>
      <c r="C32" s="3">
        <f t="shared" ref="C32:U32" si="3">SUM(C2:C31)</f>
        <v>9916.2748929600002</v>
      </c>
      <c r="D32" s="3">
        <f t="shared" si="3"/>
        <v>765.27244800000005</v>
      </c>
      <c r="E32" s="3">
        <f t="shared" si="3"/>
        <v>16717.296090663604</v>
      </c>
      <c r="F32" s="3">
        <f t="shared" si="3"/>
        <v>17359.640042999999</v>
      </c>
      <c r="G32" s="3">
        <f t="shared" si="3"/>
        <v>-4.8723904910730199E-13</v>
      </c>
      <c r="H32" s="3">
        <f t="shared" si="3"/>
        <v>0</v>
      </c>
      <c r="I32" s="3">
        <f t="shared" si="3"/>
        <v>0</v>
      </c>
      <c r="J32" s="3">
        <f t="shared" si="3"/>
        <v>48630.897884219994</v>
      </c>
      <c r="K32" s="3">
        <f t="shared" si="3"/>
        <v>0</v>
      </c>
      <c r="L32" s="3">
        <f t="shared" si="3"/>
        <v>23.587471740000002</v>
      </c>
      <c r="M32" s="3">
        <f t="shared" si="3"/>
        <v>0</v>
      </c>
      <c r="N32" s="3">
        <f t="shared" si="3"/>
        <v>0</v>
      </c>
      <c r="O32" s="3">
        <f t="shared" si="3"/>
        <v>1700.9930063225995</v>
      </c>
      <c r="P32" s="3">
        <f t="shared" si="3"/>
        <v>0</v>
      </c>
      <c r="Q32" s="3">
        <f t="shared" si="3"/>
        <v>0</v>
      </c>
      <c r="R32" s="3">
        <f t="shared" si="3"/>
        <v>0</v>
      </c>
      <c r="S32" s="3">
        <f t="shared" si="3"/>
        <v>15.714600000000001</v>
      </c>
      <c r="T32" s="3">
        <f t="shared" si="3"/>
        <v>0</v>
      </c>
      <c r="U32" s="3">
        <f t="shared" si="3"/>
        <v>2239.4012657010003</v>
      </c>
    </row>
    <row r="33" spans="1:1" x14ac:dyDescent="0.15">
      <c r="A33" s="1" t="s">
        <v>11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3"/>
  <sheetViews>
    <sheetView zoomScale="70" zoomScaleNormal="70" workbookViewId="0">
      <selection activeCell="A2" sqref="A2:A31"/>
    </sheetView>
  </sheetViews>
  <sheetFormatPr defaultRowHeight="13.5" x14ac:dyDescent="0.15"/>
  <sheetData>
    <row r="1" spans="1:24" x14ac:dyDescent="0.15">
      <c r="B1" s="19" t="s">
        <v>0</v>
      </c>
      <c r="C1" t="s">
        <v>1</v>
      </c>
      <c r="D1" t="s">
        <v>2</v>
      </c>
      <c r="E1" t="s">
        <v>4</v>
      </c>
      <c r="F1" t="s">
        <v>3</v>
      </c>
      <c r="G1" t="s">
        <v>123</v>
      </c>
      <c r="H1" t="s">
        <v>124</v>
      </c>
      <c r="I1" t="s">
        <v>125</v>
      </c>
      <c r="J1" s="19" t="s">
        <v>126</v>
      </c>
      <c r="K1" t="s">
        <v>127</v>
      </c>
      <c r="L1" t="s">
        <v>128</v>
      </c>
      <c r="M1" t="s">
        <v>129</v>
      </c>
      <c r="N1" t="s">
        <v>5</v>
      </c>
      <c r="O1" t="s">
        <v>6</v>
      </c>
      <c r="P1" t="s">
        <v>7</v>
      </c>
      <c r="Q1" t="s">
        <v>122</v>
      </c>
      <c r="R1" t="s">
        <v>10</v>
      </c>
      <c r="S1" t="s">
        <v>8</v>
      </c>
      <c r="T1" t="s">
        <v>9</v>
      </c>
      <c r="U1" t="s">
        <v>118</v>
      </c>
    </row>
    <row r="2" spans="1:24" x14ac:dyDescent="0.15">
      <c r="A2" s="1" t="s">
        <v>160</v>
      </c>
      <c r="B2" s="3">
        <v>90.795761999999996</v>
      </c>
      <c r="C2">
        <v>937.95024999999998</v>
      </c>
      <c r="D2">
        <v>115.477684</v>
      </c>
      <c r="E2">
        <v>1257.8655510000001</v>
      </c>
      <c r="F2">
        <v>345.41115000000002</v>
      </c>
      <c r="G2">
        <v>0</v>
      </c>
      <c r="I2">
        <v>0</v>
      </c>
      <c r="J2">
        <v>1289.4182329999999</v>
      </c>
      <c r="K2">
        <v>0</v>
      </c>
      <c r="L2">
        <v>62.288981</v>
      </c>
      <c r="M2">
        <v>0</v>
      </c>
      <c r="N2">
        <v>19.435933000000002</v>
      </c>
      <c r="O2">
        <v>571.45556699999997</v>
      </c>
      <c r="P2">
        <v>41.148817000000001</v>
      </c>
      <c r="Q2">
        <v>634.84763700000008</v>
      </c>
      <c r="R2">
        <v>107.58890500000001</v>
      </c>
      <c r="S2">
        <v>99.962884999999986</v>
      </c>
      <c r="T2">
        <v>287.41044500000004</v>
      </c>
      <c r="U2">
        <v>105.92359200000001</v>
      </c>
      <c r="V2" s="3">
        <f>B2+J2+E2+F2</f>
        <v>2983.4906959999998</v>
      </c>
      <c r="W2" s="3">
        <f>C2+D2+SUM(G2:U2)-J2</f>
        <v>2983.4906960000003</v>
      </c>
      <c r="X2" s="3">
        <f>V2-W2</f>
        <v>0</v>
      </c>
    </row>
    <row r="3" spans="1:24" x14ac:dyDescent="0.15">
      <c r="A3" s="1" t="s">
        <v>161</v>
      </c>
      <c r="B3">
        <v>35.51805699999985</v>
      </c>
      <c r="C3">
        <v>4076.9573389999996</v>
      </c>
      <c r="D3">
        <v>75.666185999999996</v>
      </c>
      <c r="E3">
        <v>3763.9028289999997</v>
      </c>
      <c r="F3">
        <v>214.14394199999998</v>
      </c>
      <c r="G3">
        <v>0</v>
      </c>
      <c r="I3">
        <v>0</v>
      </c>
      <c r="J3">
        <v>1208.101105</v>
      </c>
      <c r="K3">
        <v>0</v>
      </c>
      <c r="L3">
        <v>1.8286080000000002</v>
      </c>
      <c r="M3">
        <v>0</v>
      </c>
      <c r="N3">
        <v>30.619260000000001</v>
      </c>
      <c r="O3">
        <v>307.45166899999998</v>
      </c>
      <c r="P3">
        <v>34.966777999999998</v>
      </c>
      <c r="Q3">
        <v>306.48226600000004</v>
      </c>
      <c r="R3">
        <v>165.77578700000001</v>
      </c>
      <c r="S3">
        <v>40.208608000000005</v>
      </c>
      <c r="T3">
        <v>78.000226999999967</v>
      </c>
      <c r="U3">
        <v>103.70920500000001</v>
      </c>
      <c r="V3" s="3">
        <f t="shared" ref="V3:V31" si="0">B3+J3+E3+F3</f>
        <v>5221.6659329999993</v>
      </c>
      <c r="W3" s="3">
        <f t="shared" ref="W3:W31" si="1">C3+D3+SUM(G3:U3)-J3</f>
        <v>5221.6659330000002</v>
      </c>
      <c r="X3" s="3">
        <f t="shared" ref="X3:X31" si="2">V3-W3</f>
        <v>0</v>
      </c>
    </row>
    <row r="4" spans="1:24" x14ac:dyDescent="0.15">
      <c r="A4" s="1" t="s">
        <v>162</v>
      </c>
      <c r="B4">
        <v>129.92451500000001</v>
      </c>
      <c r="C4">
        <v>368.56073790099998</v>
      </c>
      <c r="D4">
        <v>7.6577100000000007</v>
      </c>
      <c r="E4">
        <v>395.55820921175359</v>
      </c>
      <c r="F4">
        <v>8.6885630000000003</v>
      </c>
      <c r="G4">
        <v>0</v>
      </c>
      <c r="I4">
        <v>0</v>
      </c>
      <c r="J4">
        <v>1508.5585299999998</v>
      </c>
      <c r="K4">
        <v>0</v>
      </c>
      <c r="L4">
        <v>10.220126199999999</v>
      </c>
      <c r="M4">
        <v>0</v>
      </c>
      <c r="N4">
        <v>48.116462999999996</v>
      </c>
      <c r="O4">
        <v>495.35331444075365</v>
      </c>
      <c r="P4">
        <v>142.417585</v>
      </c>
      <c r="Q4">
        <v>625.97630361999995</v>
      </c>
      <c r="R4">
        <v>31.43649808</v>
      </c>
      <c r="S4">
        <v>58.95530085</v>
      </c>
      <c r="T4">
        <v>113.09999012000019</v>
      </c>
      <c r="U4">
        <v>140.93578800000003</v>
      </c>
      <c r="V4" s="3">
        <f t="shared" si="0"/>
        <v>2042.7298172117532</v>
      </c>
      <c r="W4" s="3">
        <f t="shared" si="1"/>
        <v>2042.7298172117548</v>
      </c>
      <c r="X4" s="3">
        <f t="shared" si="2"/>
        <v>0</v>
      </c>
    </row>
    <row r="5" spans="1:24" x14ac:dyDescent="0.15">
      <c r="A5" s="1" t="s">
        <v>163</v>
      </c>
      <c r="B5">
        <v>42.115182999999952</v>
      </c>
      <c r="C5">
        <v>30.354982</v>
      </c>
      <c r="D5">
        <v>0</v>
      </c>
      <c r="E5">
        <v>688.60854800000016</v>
      </c>
      <c r="F5">
        <v>0</v>
      </c>
      <c r="G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70.284678</v>
      </c>
      <c r="O5">
        <v>152.82656300000002</v>
      </c>
      <c r="P5">
        <v>18.699168</v>
      </c>
      <c r="Q5">
        <v>328.59252900000001</v>
      </c>
      <c r="R5">
        <v>14.978669</v>
      </c>
      <c r="S5">
        <v>32.321565999999997</v>
      </c>
      <c r="T5">
        <v>18.787291000000046</v>
      </c>
      <c r="U5">
        <v>63.878285000000005</v>
      </c>
      <c r="V5" s="3">
        <f t="shared" si="0"/>
        <v>730.72373100000016</v>
      </c>
      <c r="W5" s="3">
        <f t="shared" si="1"/>
        <v>730.72373099999993</v>
      </c>
      <c r="X5" s="3">
        <f t="shared" si="2"/>
        <v>0</v>
      </c>
    </row>
    <row r="6" spans="1:24" x14ac:dyDescent="0.15">
      <c r="A6" s="1" t="s">
        <v>164</v>
      </c>
      <c r="B6">
        <v>42.95618999999995</v>
      </c>
      <c r="C6">
        <v>50.737138293399994</v>
      </c>
      <c r="D6">
        <v>0</v>
      </c>
      <c r="E6">
        <v>1067.765210946</v>
      </c>
      <c r="F6">
        <v>13.854641999999998</v>
      </c>
      <c r="G6">
        <v>0</v>
      </c>
      <c r="I6">
        <v>0</v>
      </c>
      <c r="J6">
        <v>215.20420571000002</v>
      </c>
      <c r="K6">
        <v>0</v>
      </c>
      <c r="L6">
        <v>0.92067737760000001</v>
      </c>
      <c r="M6">
        <v>0</v>
      </c>
      <c r="N6">
        <v>113.76373599999999</v>
      </c>
      <c r="O6">
        <v>141.0665603617</v>
      </c>
      <c r="P6">
        <v>39.259</v>
      </c>
      <c r="Q6">
        <v>705.8254529400001</v>
      </c>
      <c r="R6">
        <v>115.30543900000001</v>
      </c>
      <c r="S6">
        <v>73.719240999999997</v>
      </c>
      <c r="T6">
        <v>49.901241009999893</v>
      </c>
      <c r="U6">
        <v>49.281762673300008</v>
      </c>
      <c r="V6" s="3">
        <f t="shared" si="0"/>
        <v>1339.7802486560001</v>
      </c>
      <c r="W6" s="3">
        <f t="shared" si="1"/>
        <v>1339.7802486559999</v>
      </c>
      <c r="X6" s="3">
        <f t="shared" si="2"/>
        <v>0</v>
      </c>
    </row>
    <row r="7" spans="1:24" x14ac:dyDescent="0.15">
      <c r="A7" s="2" t="s">
        <v>165</v>
      </c>
      <c r="B7">
        <v>165.72356199999993</v>
      </c>
      <c r="C7">
        <v>4584.0887610000009</v>
      </c>
      <c r="D7">
        <v>519.32444199999998</v>
      </c>
      <c r="E7">
        <v>378.98850300000004</v>
      </c>
      <c r="F7">
        <v>85.861975000000015</v>
      </c>
      <c r="G7">
        <v>0</v>
      </c>
      <c r="I7">
        <v>0</v>
      </c>
      <c r="J7">
        <v>7592.9021929999999</v>
      </c>
      <c r="K7">
        <v>0</v>
      </c>
      <c r="L7">
        <v>140.870724</v>
      </c>
      <c r="M7">
        <v>0</v>
      </c>
      <c r="N7">
        <v>138.89679100000001</v>
      </c>
      <c r="O7">
        <v>1048.902233</v>
      </c>
      <c r="P7">
        <v>34.873371000000006</v>
      </c>
      <c r="Q7">
        <v>1278.8846140000001</v>
      </c>
      <c r="R7">
        <v>53.074398000000002</v>
      </c>
      <c r="S7">
        <v>71.151022000000012</v>
      </c>
      <c r="T7">
        <v>112.53104100000007</v>
      </c>
      <c r="U7">
        <v>240.87883600000001</v>
      </c>
      <c r="V7" s="3">
        <f t="shared" si="0"/>
        <v>8223.4762329999994</v>
      </c>
      <c r="W7" s="3">
        <f t="shared" si="1"/>
        <v>8223.476233000003</v>
      </c>
      <c r="X7" s="3">
        <f t="shared" si="2"/>
        <v>0</v>
      </c>
    </row>
    <row r="8" spans="1:24" x14ac:dyDescent="0.15">
      <c r="A8" s="1" t="s">
        <v>166</v>
      </c>
      <c r="B8">
        <v>26.946880999999991</v>
      </c>
      <c r="C8">
        <v>0</v>
      </c>
      <c r="D8">
        <v>0.27899399999999996</v>
      </c>
      <c r="E8">
        <v>277.26365999999996</v>
      </c>
      <c r="F8">
        <v>0.38256400000000002</v>
      </c>
      <c r="G8">
        <v>0</v>
      </c>
      <c r="I8">
        <v>0</v>
      </c>
      <c r="J8">
        <v>922.15167200000019</v>
      </c>
      <c r="K8">
        <v>0</v>
      </c>
      <c r="L8">
        <v>2.5324420000000001</v>
      </c>
      <c r="M8">
        <v>0</v>
      </c>
      <c r="N8">
        <v>134.150598</v>
      </c>
      <c r="O8">
        <v>370.46168499999999</v>
      </c>
      <c r="P8">
        <v>33.254619000000005</v>
      </c>
      <c r="Q8">
        <v>294.61320699999999</v>
      </c>
      <c r="R8">
        <v>73.765281000000002</v>
      </c>
      <c r="S8">
        <v>131.844539</v>
      </c>
      <c r="T8">
        <v>162.29252499999993</v>
      </c>
      <c r="U8">
        <v>23.550887000000003</v>
      </c>
      <c r="V8" s="3">
        <f t="shared" si="0"/>
        <v>1226.7447770000001</v>
      </c>
      <c r="W8" s="3">
        <f t="shared" si="1"/>
        <v>1226.7447769999997</v>
      </c>
      <c r="X8" s="3">
        <f t="shared" si="2"/>
        <v>0</v>
      </c>
    </row>
    <row r="9" spans="1:24" x14ac:dyDescent="0.15">
      <c r="A9" s="1" t="s">
        <v>167</v>
      </c>
      <c r="B9">
        <v>43.848641000000008</v>
      </c>
      <c r="C9">
        <v>477.43867600000004</v>
      </c>
      <c r="D9">
        <v>0</v>
      </c>
      <c r="E9">
        <v>202.417051958</v>
      </c>
      <c r="F9">
        <v>0</v>
      </c>
      <c r="G9">
        <v>0</v>
      </c>
      <c r="I9">
        <v>0</v>
      </c>
      <c r="J9">
        <v>2175.7851169999999</v>
      </c>
      <c r="K9">
        <v>0</v>
      </c>
      <c r="L9">
        <v>115.77689899999999</v>
      </c>
      <c r="M9">
        <v>0</v>
      </c>
      <c r="N9">
        <v>238.62926700000003</v>
      </c>
      <c r="O9">
        <v>470.38017295799995</v>
      </c>
      <c r="P9">
        <v>0</v>
      </c>
      <c r="Q9">
        <v>413.1902</v>
      </c>
      <c r="R9">
        <v>270.28965900000003</v>
      </c>
      <c r="S9">
        <v>67.654972000000001</v>
      </c>
      <c r="T9">
        <v>347.77928899999995</v>
      </c>
      <c r="U9">
        <v>20.911675000000002</v>
      </c>
      <c r="V9" s="3">
        <f t="shared" si="0"/>
        <v>2422.0508099580002</v>
      </c>
      <c r="W9" s="3">
        <f t="shared" si="1"/>
        <v>2422.0508099579997</v>
      </c>
      <c r="X9" s="3">
        <f t="shared" si="2"/>
        <v>0</v>
      </c>
    </row>
    <row r="10" spans="1:24" x14ac:dyDescent="0.15">
      <c r="A10" s="1" t="s">
        <v>168</v>
      </c>
      <c r="B10">
        <v>125.36638999999994</v>
      </c>
      <c r="C10">
        <v>4397.6781790000005</v>
      </c>
      <c r="D10">
        <v>209.39493400000001</v>
      </c>
      <c r="E10">
        <v>4877.6145558253911</v>
      </c>
      <c r="F10">
        <v>1325.9326580000002</v>
      </c>
      <c r="G10">
        <v>0</v>
      </c>
      <c r="I10">
        <v>0</v>
      </c>
      <c r="J10">
        <v>2453.0199010000001</v>
      </c>
      <c r="K10">
        <v>0</v>
      </c>
      <c r="L10">
        <v>117.47600899999999</v>
      </c>
      <c r="M10">
        <v>0</v>
      </c>
      <c r="N10">
        <v>58.381309000000002</v>
      </c>
      <c r="O10">
        <v>1374.0796758953902</v>
      </c>
      <c r="P10">
        <v>109.794736</v>
      </c>
      <c r="Q10">
        <v>1764.44775</v>
      </c>
      <c r="R10">
        <v>161.51808600000001</v>
      </c>
      <c r="S10">
        <v>234.24406999999999</v>
      </c>
      <c r="T10">
        <v>226.24268793000019</v>
      </c>
      <c r="U10">
        <v>128.67606799999999</v>
      </c>
      <c r="V10" s="3">
        <f t="shared" si="0"/>
        <v>8781.9335048253906</v>
      </c>
      <c r="W10" s="3">
        <f t="shared" si="1"/>
        <v>8781.9335048253906</v>
      </c>
      <c r="X10" s="3">
        <f t="shared" si="2"/>
        <v>0</v>
      </c>
    </row>
    <row r="11" spans="1:24" x14ac:dyDescent="0.15">
      <c r="A11" s="1" t="s">
        <v>169</v>
      </c>
      <c r="B11">
        <v>93.757085000000032</v>
      </c>
      <c r="C11">
        <v>1194.210045</v>
      </c>
      <c r="D11">
        <v>22.866761</v>
      </c>
      <c r="E11">
        <v>1002.6250700000001</v>
      </c>
      <c r="F11">
        <v>102.978172</v>
      </c>
      <c r="G11">
        <v>0</v>
      </c>
      <c r="I11">
        <v>0</v>
      </c>
      <c r="J11">
        <v>3214.415043</v>
      </c>
      <c r="K11">
        <v>0</v>
      </c>
      <c r="L11">
        <v>20.502527000000001</v>
      </c>
      <c r="M11">
        <v>0</v>
      </c>
      <c r="N11">
        <v>206.66900800000002</v>
      </c>
      <c r="O11">
        <v>1453.0290150000003</v>
      </c>
      <c r="P11">
        <v>134.29235599999998</v>
      </c>
      <c r="Q11">
        <v>952.59875800000009</v>
      </c>
      <c r="R11">
        <v>21.500364000000001</v>
      </c>
      <c r="S11">
        <v>20.957252</v>
      </c>
      <c r="T11">
        <v>300.98752999999994</v>
      </c>
      <c r="U11">
        <v>86.161754000000002</v>
      </c>
      <c r="V11" s="3">
        <f t="shared" si="0"/>
        <v>4413.7753700000003</v>
      </c>
      <c r="W11" s="3">
        <f t="shared" si="1"/>
        <v>4413.7753700000012</v>
      </c>
      <c r="X11" s="3">
        <f t="shared" si="2"/>
        <v>0</v>
      </c>
    </row>
    <row r="12" spans="1:24" x14ac:dyDescent="0.15">
      <c r="A12" s="1" t="s">
        <v>170</v>
      </c>
      <c r="B12">
        <v>151.45626127999998</v>
      </c>
      <c r="C12">
        <v>2843.4189073900002</v>
      </c>
      <c r="D12">
        <v>92.784007410000015</v>
      </c>
      <c r="E12">
        <v>2597.7479983400003</v>
      </c>
      <c r="F12">
        <v>207.80701884000001</v>
      </c>
      <c r="G12">
        <v>0</v>
      </c>
      <c r="I12">
        <v>0</v>
      </c>
      <c r="J12">
        <v>3137.79302388</v>
      </c>
      <c r="K12">
        <v>0</v>
      </c>
      <c r="L12">
        <v>46.527829320000002</v>
      </c>
      <c r="M12">
        <v>0</v>
      </c>
      <c r="N12">
        <v>295.27927229000005</v>
      </c>
      <c r="O12">
        <v>958.57583842000008</v>
      </c>
      <c r="P12">
        <v>150.33870000000002</v>
      </c>
      <c r="Q12">
        <v>900.62367798000002</v>
      </c>
      <c r="R12">
        <v>86.656599999999997</v>
      </c>
      <c r="S12">
        <v>84.570100000000011</v>
      </c>
      <c r="T12">
        <v>449.91370000000001</v>
      </c>
      <c r="U12">
        <v>186.11566952999999</v>
      </c>
      <c r="V12" s="3">
        <f t="shared" si="0"/>
        <v>6094.8043023400005</v>
      </c>
      <c r="W12" s="3">
        <f t="shared" si="1"/>
        <v>6094.8043023400005</v>
      </c>
      <c r="X12" s="3">
        <f t="shared" si="2"/>
        <v>0</v>
      </c>
    </row>
    <row r="13" spans="1:24" x14ac:dyDescent="0.15">
      <c r="A13" s="1" t="s">
        <v>171</v>
      </c>
      <c r="B13">
        <v>139.12071799999998</v>
      </c>
      <c r="C13">
        <v>218.35552536540612</v>
      </c>
      <c r="D13">
        <v>0</v>
      </c>
      <c r="E13">
        <v>313.77814098075021</v>
      </c>
      <c r="F13">
        <v>6.7557740000000006</v>
      </c>
      <c r="G13">
        <v>0</v>
      </c>
      <c r="I13">
        <v>0</v>
      </c>
      <c r="J13">
        <v>611.57331500000009</v>
      </c>
      <c r="K13">
        <v>0</v>
      </c>
      <c r="L13">
        <v>7.9938539999999989</v>
      </c>
      <c r="M13">
        <v>0</v>
      </c>
      <c r="N13">
        <v>93.356705000000005</v>
      </c>
      <c r="O13">
        <v>200.5976361101724</v>
      </c>
      <c r="P13">
        <v>21.97805</v>
      </c>
      <c r="Q13">
        <v>375.22014200000001</v>
      </c>
      <c r="R13">
        <v>2.1856499999999999</v>
      </c>
      <c r="S13">
        <v>0</v>
      </c>
      <c r="T13">
        <v>75.471690000000009</v>
      </c>
      <c r="U13">
        <v>76.068794000000011</v>
      </c>
      <c r="V13" s="3">
        <f t="shared" si="0"/>
        <v>1071.2279479807503</v>
      </c>
      <c r="W13" s="3">
        <f t="shared" si="1"/>
        <v>1071.2280464755786</v>
      </c>
      <c r="X13" s="3">
        <f t="shared" si="2"/>
        <v>-9.8494828307593707E-5</v>
      </c>
    </row>
    <row r="14" spans="1:24" x14ac:dyDescent="0.15">
      <c r="A14" s="1" t="s">
        <v>172</v>
      </c>
      <c r="B14">
        <v>12.610819999999999</v>
      </c>
      <c r="C14">
        <v>0</v>
      </c>
      <c r="D14">
        <v>0</v>
      </c>
      <c r="E14">
        <v>1091.4678119999999</v>
      </c>
      <c r="F14">
        <v>0</v>
      </c>
      <c r="G14">
        <v>0</v>
      </c>
      <c r="I14">
        <v>0</v>
      </c>
      <c r="J14">
        <v>513.00817599999993</v>
      </c>
      <c r="K14">
        <v>0</v>
      </c>
      <c r="L14">
        <v>14.814999</v>
      </c>
      <c r="M14">
        <v>0</v>
      </c>
      <c r="N14">
        <v>207.28073100000003</v>
      </c>
      <c r="O14">
        <v>556.3084090000001</v>
      </c>
      <c r="P14">
        <v>21.978200000000001</v>
      </c>
      <c r="Q14">
        <v>449.79078799999996</v>
      </c>
      <c r="R14">
        <v>46.082850999999998</v>
      </c>
      <c r="S14">
        <v>126.195612</v>
      </c>
      <c r="T14">
        <v>191.66901100000001</v>
      </c>
      <c r="U14">
        <v>2.9662069999999998</v>
      </c>
      <c r="V14" s="3">
        <f t="shared" si="0"/>
        <v>1617.0868079999998</v>
      </c>
      <c r="W14" s="3">
        <f t="shared" si="1"/>
        <v>1617.086808</v>
      </c>
      <c r="X14" s="3">
        <f t="shared" si="2"/>
        <v>0</v>
      </c>
    </row>
    <row r="15" spans="1:24" x14ac:dyDescent="0.15">
      <c r="A15" s="1" t="s">
        <v>173</v>
      </c>
      <c r="B15">
        <v>32.718095000000027</v>
      </c>
      <c r="C15">
        <v>411.46110500000009</v>
      </c>
      <c r="D15">
        <v>0</v>
      </c>
      <c r="E15">
        <v>642.57927100000006</v>
      </c>
      <c r="F15">
        <v>0</v>
      </c>
      <c r="G15">
        <v>0</v>
      </c>
      <c r="I15">
        <v>0</v>
      </c>
      <c r="J15">
        <v>546.92977500000006</v>
      </c>
      <c r="K15">
        <v>0</v>
      </c>
      <c r="L15">
        <v>14.990981999999999</v>
      </c>
      <c r="M15">
        <v>0</v>
      </c>
      <c r="N15">
        <v>90.411699999999996</v>
      </c>
      <c r="O15">
        <v>175.98334299999999</v>
      </c>
      <c r="P15">
        <v>17.990646999999999</v>
      </c>
      <c r="Q15">
        <v>332.40143</v>
      </c>
      <c r="R15">
        <v>21.840783000000002</v>
      </c>
      <c r="S15">
        <v>29.491073000000004</v>
      </c>
      <c r="T15">
        <v>82.751542000000057</v>
      </c>
      <c r="U15">
        <v>44.904536</v>
      </c>
      <c r="V15" s="3">
        <f t="shared" si="0"/>
        <v>1222.2271410000003</v>
      </c>
      <c r="W15" s="3">
        <f t="shared" si="1"/>
        <v>1222.2271410000001</v>
      </c>
      <c r="X15" s="3">
        <f t="shared" si="2"/>
        <v>0</v>
      </c>
    </row>
    <row r="16" spans="1:24" x14ac:dyDescent="0.15">
      <c r="A16" s="1" t="s">
        <v>174</v>
      </c>
      <c r="B16">
        <v>415.62819599999995</v>
      </c>
      <c r="C16">
        <v>1381.7018071322991</v>
      </c>
      <c r="D16">
        <v>0</v>
      </c>
      <c r="E16">
        <v>807.00949453760029</v>
      </c>
      <c r="F16">
        <v>0</v>
      </c>
      <c r="G16">
        <v>0</v>
      </c>
      <c r="I16">
        <v>0</v>
      </c>
      <c r="J16">
        <v>4962.1399325049997</v>
      </c>
      <c r="K16">
        <v>0</v>
      </c>
      <c r="L16">
        <v>49.704809861900003</v>
      </c>
      <c r="M16">
        <v>0</v>
      </c>
      <c r="N16">
        <v>409.43682000000001</v>
      </c>
      <c r="O16">
        <v>1139.7200710914001</v>
      </c>
      <c r="P16">
        <v>414.49699999999996</v>
      </c>
      <c r="Q16">
        <v>1897.1471660000002</v>
      </c>
      <c r="R16">
        <v>180.31259000000003</v>
      </c>
      <c r="S16">
        <v>196.46083999999999</v>
      </c>
      <c r="T16">
        <v>347.8017270000006</v>
      </c>
      <c r="U16">
        <v>167.99479195700002</v>
      </c>
      <c r="V16" s="3">
        <f t="shared" si="0"/>
        <v>6184.7776230425998</v>
      </c>
      <c r="W16" s="3">
        <f t="shared" si="1"/>
        <v>6184.7776230425998</v>
      </c>
      <c r="X16" s="3">
        <f t="shared" si="2"/>
        <v>0</v>
      </c>
    </row>
    <row r="17" spans="1:24" x14ac:dyDescent="0.15">
      <c r="A17" s="1" t="s">
        <v>175</v>
      </c>
      <c r="B17">
        <v>94.213875999999999</v>
      </c>
      <c r="C17">
        <v>177.6523139999999</v>
      </c>
      <c r="D17">
        <v>0</v>
      </c>
      <c r="E17">
        <v>587.40778699999998</v>
      </c>
      <c r="F17">
        <v>0</v>
      </c>
      <c r="G17">
        <v>0</v>
      </c>
      <c r="I17">
        <v>0</v>
      </c>
      <c r="J17">
        <v>967.68350900000007</v>
      </c>
      <c r="K17">
        <v>0</v>
      </c>
      <c r="L17">
        <v>22.91133</v>
      </c>
      <c r="M17">
        <v>0</v>
      </c>
      <c r="N17">
        <v>149.32198199999999</v>
      </c>
      <c r="O17">
        <v>432.61620299999998</v>
      </c>
      <c r="P17">
        <v>37.693899999999999</v>
      </c>
      <c r="Q17">
        <v>620.68737400000009</v>
      </c>
      <c r="R17">
        <v>28.525936999999999</v>
      </c>
      <c r="S17">
        <v>20.542400000000001</v>
      </c>
      <c r="T17">
        <v>46.693945000000021</v>
      </c>
      <c r="U17">
        <v>112.65978700000001</v>
      </c>
      <c r="V17" s="3">
        <f t="shared" si="0"/>
        <v>1649.3051719999999</v>
      </c>
      <c r="W17" s="3">
        <f t="shared" si="1"/>
        <v>1649.3051719999999</v>
      </c>
      <c r="X17" s="3">
        <f t="shared" si="2"/>
        <v>0</v>
      </c>
    </row>
    <row r="18" spans="1:24" x14ac:dyDescent="0.15">
      <c r="A18" s="1" t="s">
        <v>176</v>
      </c>
      <c r="B18">
        <v>123.00828499999999</v>
      </c>
      <c r="C18">
        <v>0</v>
      </c>
      <c r="D18">
        <v>0</v>
      </c>
      <c r="E18">
        <v>1044.9695530000001</v>
      </c>
      <c r="F18">
        <v>0</v>
      </c>
      <c r="G18">
        <v>0</v>
      </c>
      <c r="I18">
        <v>0</v>
      </c>
      <c r="J18">
        <v>1234.115184</v>
      </c>
      <c r="K18">
        <v>0</v>
      </c>
      <c r="L18">
        <v>38.568723999999996</v>
      </c>
      <c r="M18">
        <v>0</v>
      </c>
      <c r="N18">
        <v>220.60204900000002</v>
      </c>
      <c r="O18">
        <v>655.32023700000002</v>
      </c>
      <c r="P18">
        <v>90.050795999999991</v>
      </c>
      <c r="Q18">
        <v>952.34559100000001</v>
      </c>
      <c r="R18">
        <v>76.057997999999998</v>
      </c>
      <c r="S18">
        <v>86.812600000000003</v>
      </c>
      <c r="T18">
        <v>194.50325999999995</v>
      </c>
      <c r="U18">
        <v>87.831767000000013</v>
      </c>
      <c r="V18" s="3">
        <f t="shared" si="0"/>
        <v>2402.093022</v>
      </c>
      <c r="W18" s="3">
        <f t="shared" si="1"/>
        <v>2402.093022</v>
      </c>
      <c r="X18" s="3">
        <f t="shared" si="2"/>
        <v>0</v>
      </c>
    </row>
    <row r="19" spans="1:24" x14ac:dyDescent="0.15">
      <c r="A19" s="1" t="s">
        <v>177</v>
      </c>
      <c r="B19">
        <v>52.37050100000004</v>
      </c>
      <c r="C19">
        <v>265.75014499999997</v>
      </c>
      <c r="D19">
        <v>0</v>
      </c>
      <c r="E19">
        <v>778.79536499999995</v>
      </c>
      <c r="F19">
        <v>0</v>
      </c>
      <c r="G19">
        <v>0</v>
      </c>
      <c r="I19">
        <v>0</v>
      </c>
      <c r="J19">
        <v>837.37364600000001</v>
      </c>
      <c r="K19">
        <v>0</v>
      </c>
      <c r="L19">
        <v>17.133037999999999</v>
      </c>
      <c r="M19">
        <v>0</v>
      </c>
      <c r="N19">
        <v>20.476951</v>
      </c>
      <c r="O19">
        <v>339.44958700000001</v>
      </c>
      <c r="P19">
        <v>94.170524000000015</v>
      </c>
      <c r="Q19">
        <v>660.61403200000007</v>
      </c>
      <c r="R19">
        <v>146.66521799999998</v>
      </c>
      <c r="S19">
        <v>2.6640769999999998</v>
      </c>
      <c r="T19">
        <v>69.567927999999881</v>
      </c>
      <c r="U19">
        <v>52.048012000000007</v>
      </c>
      <c r="V19" s="3">
        <f t="shared" si="0"/>
        <v>1668.5395119999998</v>
      </c>
      <c r="W19" s="3">
        <f t="shared" si="1"/>
        <v>1668.5395120000003</v>
      </c>
      <c r="X19" s="3">
        <f t="shared" si="2"/>
        <v>0</v>
      </c>
    </row>
    <row r="20" spans="1:24" x14ac:dyDescent="0.15">
      <c r="A20" s="1" t="s">
        <v>178</v>
      </c>
      <c r="B20">
        <v>321.73725199999984</v>
      </c>
      <c r="C20">
        <v>2412.764597906888</v>
      </c>
      <c r="D20">
        <v>318.89337899999998</v>
      </c>
      <c r="E20">
        <v>4652.3613418859059</v>
      </c>
      <c r="F20">
        <v>1700.8687910000001</v>
      </c>
      <c r="G20">
        <v>0</v>
      </c>
      <c r="I20">
        <v>0</v>
      </c>
      <c r="J20">
        <v>4061.4282429999998</v>
      </c>
      <c r="K20">
        <v>0</v>
      </c>
      <c r="L20">
        <v>814.66721900000005</v>
      </c>
      <c r="M20">
        <v>0</v>
      </c>
      <c r="N20">
        <v>144.20800500000001</v>
      </c>
      <c r="O20">
        <v>3199.2670939790173</v>
      </c>
      <c r="P20">
        <v>80.053229999999985</v>
      </c>
      <c r="Q20">
        <v>2057.9659530000004</v>
      </c>
      <c r="R20">
        <v>285.90589300000005</v>
      </c>
      <c r="S20">
        <v>82.239590000000007</v>
      </c>
      <c r="T20">
        <v>991.58525500000007</v>
      </c>
      <c r="U20">
        <v>348.84541200000001</v>
      </c>
      <c r="V20" s="3">
        <f t="shared" si="0"/>
        <v>10736.395627885906</v>
      </c>
      <c r="W20" s="3">
        <f t="shared" si="1"/>
        <v>10736.395627885906</v>
      </c>
      <c r="X20" s="3">
        <f t="shared" si="2"/>
        <v>0</v>
      </c>
    </row>
    <row r="21" spans="1:24" x14ac:dyDescent="0.15">
      <c r="A21" s="1" t="s">
        <v>179</v>
      </c>
      <c r="B21">
        <v>39.406959539199953</v>
      </c>
      <c r="C21">
        <v>76.747198000000012</v>
      </c>
      <c r="D21">
        <v>7.7226299999999997</v>
      </c>
      <c r="E21">
        <v>912.38549544080001</v>
      </c>
      <c r="F21">
        <v>0</v>
      </c>
      <c r="G21">
        <v>0</v>
      </c>
      <c r="I21">
        <v>0</v>
      </c>
      <c r="J21">
        <v>211.03106299999999</v>
      </c>
      <c r="K21">
        <v>0</v>
      </c>
      <c r="L21">
        <v>5.0136959399999999</v>
      </c>
      <c r="M21">
        <v>0</v>
      </c>
      <c r="N21">
        <v>39.100845</v>
      </c>
      <c r="O21">
        <v>104.51448300000001</v>
      </c>
      <c r="P21">
        <v>27.976838999999998</v>
      </c>
      <c r="Q21">
        <v>553.65212199999996</v>
      </c>
      <c r="R21">
        <v>56.079106199999998</v>
      </c>
      <c r="S21">
        <v>58.931402000000006</v>
      </c>
      <c r="T21">
        <v>212.48820599999996</v>
      </c>
      <c r="U21">
        <v>20.59699084</v>
      </c>
      <c r="V21" s="3">
        <f t="shared" si="0"/>
        <v>1162.8235179799999</v>
      </c>
      <c r="W21" s="3">
        <f t="shared" si="1"/>
        <v>1162.8235179799999</v>
      </c>
      <c r="X21" s="3">
        <f t="shared" si="2"/>
        <v>0</v>
      </c>
    </row>
    <row r="22" spans="1:24" x14ac:dyDescent="0.15">
      <c r="A22" s="1" t="s">
        <v>180</v>
      </c>
      <c r="B22">
        <v>0</v>
      </c>
      <c r="C22">
        <v>1006.872384</v>
      </c>
      <c r="D22">
        <v>113.414112</v>
      </c>
      <c r="E22">
        <v>138.72752200000002</v>
      </c>
      <c r="F22">
        <v>205.33003800000003</v>
      </c>
      <c r="G22">
        <v>0</v>
      </c>
      <c r="I22">
        <v>0</v>
      </c>
      <c r="J22">
        <v>1164.2223669999998</v>
      </c>
      <c r="K22">
        <v>0</v>
      </c>
      <c r="L22">
        <v>6.0088200000000001</v>
      </c>
      <c r="M22">
        <v>0</v>
      </c>
      <c r="N22">
        <v>36.910390000000007</v>
      </c>
      <c r="O22">
        <v>105.56347</v>
      </c>
      <c r="P22">
        <v>11.265430000000002</v>
      </c>
      <c r="Q22">
        <v>160.08946000000003</v>
      </c>
      <c r="R22">
        <v>16.496965000000003</v>
      </c>
      <c r="S22">
        <v>19.092449999999999</v>
      </c>
      <c r="T22">
        <v>22.293849999999988</v>
      </c>
      <c r="U22">
        <v>10.272596000000002</v>
      </c>
      <c r="V22" s="3">
        <f t="shared" si="0"/>
        <v>1508.279927</v>
      </c>
      <c r="W22" s="3">
        <f t="shared" si="1"/>
        <v>1508.279927</v>
      </c>
      <c r="X22" s="3">
        <f t="shared" si="2"/>
        <v>0</v>
      </c>
    </row>
    <row r="23" spans="1:24" x14ac:dyDescent="0.15">
      <c r="A23" s="1" t="s">
        <v>181</v>
      </c>
      <c r="B23">
        <v>31.809732000000007</v>
      </c>
      <c r="C23">
        <v>0</v>
      </c>
      <c r="D23">
        <v>0</v>
      </c>
      <c r="E23">
        <v>524.46689000000003</v>
      </c>
      <c r="F23">
        <v>0</v>
      </c>
      <c r="G23">
        <v>0</v>
      </c>
      <c r="I23">
        <v>0</v>
      </c>
      <c r="J23">
        <v>0</v>
      </c>
      <c r="K23">
        <v>0</v>
      </c>
      <c r="L23">
        <v>3.7412210000000004</v>
      </c>
      <c r="M23">
        <v>0</v>
      </c>
      <c r="N23">
        <v>17.162776000000001</v>
      </c>
      <c r="O23">
        <v>64.459913000000014</v>
      </c>
      <c r="P23">
        <v>13.950970999999999</v>
      </c>
      <c r="Q23">
        <v>397.062141</v>
      </c>
      <c r="R23">
        <v>24.076356000000001</v>
      </c>
      <c r="S23">
        <v>10.190652999999999</v>
      </c>
      <c r="T23">
        <v>16.135277000000016</v>
      </c>
      <c r="U23">
        <v>9.4973139999999994</v>
      </c>
      <c r="V23" s="3">
        <f t="shared" si="0"/>
        <v>556.27662200000009</v>
      </c>
      <c r="W23" s="3">
        <f t="shared" si="1"/>
        <v>556.27662199999997</v>
      </c>
      <c r="X23" s="3">
        <f t="shared" si="2"/>
        <v>0</v>
      </c>
    </row>
    <row r="24" spans="1:24" x14ac:dyDescent="0.15">
      <c r="A24" s="1" t="s">
        <v>182</v>
      </c>
      <c r="B24">
        <v>0</v>
      </c>
      <c r="C24">
        <v>26.927619999999997</v>
      </c>
      <c r="D24">
        <v>2.7220900000000001</v>
      </c>
      <c r="E24">
        <v>1116.844904</v>
      </c>
      <c r="F24">
        <v>10.535224000000001</v>
      </c>
      <c r="G24">
        <v>0</v>
      </c>
      <c r="I24">
        <v>0</v>
      </c>
      <c r="J24">
        <v>308.93121200000007</v>
      </c>
      <c r="K24">
        <v>0</v>
      </c>
      <c r="L24">
        <v>3.0414900000000005</v>
      </c>
      <c r="M24">
        <v>0</v>
      </c>
      <c r="N24">
        <v>156.50490500000001</v>
      </c>
      <c r="O24">
        <v>211.65527499999999</v>
      </c>
      <c r="P24">
        <v>70.002297999999996</v>
      </c>
      <c r="Q24">
        <v>732.18264799999997</v>
      </c>
      <c r="R24">
        <v>91.528019999999998</v>
      </c>
      <c r="S24">
        <v>102.670906</v>
      </c>
      <c r="T24">
        <v>14.985515000000172</v>
      </c>
      <c r="U24">
        <v>24.090573000000003</v>
      </c>
      <c r="V24" s="3">
        <f t="shared" si="0"/>
        <v>1436.31134</v>
      </c>
      <c r="W24" s="3">
        <f t="shared" si="1"/>
        <v>1436.3113400000002</v>
      </c>
      <c r="X24" s="3">
        <f t="shared" si="2"/>
        <v>0</v>
      </c>
    </row>
    <row r="25" spans="1:24" x14ac:dyDescent="0.15">
      <c r="A25" s="1" t="s">
        <v>183</v>
      </c>
      <c r="B25">
        <v>29.220209000000008</v>
      </c>
      <c r="C25">
        <v>0</v>
      </c>
      <c r="D25">
        <v>0</v>
      </c>
      <c r="E25">
        <v>522.98155399999996</v>
      </c>
      <c r="F25">
        <v>0</v>
      </c>
      <c r="G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12.389956000000002</v>
      </c>
      <c r="O25">
        <v>104.53957200000001</v>
      </c>
      <c r="P25">
        <v>13.763619</v>
      </c>
      <c r="Q25">
        <v>297.39070200000003</v>
      </c>
      <c r="R25">
        <v>22.900981999999999</v>
      </c>
      <c r="S25">
        <v>61.617221999999998</v>
      </c>
      <c r="T25">
        <v>13.443520999999979</v>
      </c>
      <c r="U25">
        <v>26.156189000000001</v>
      </c>
      <c r="V25" s="3">
        <f t="shared" si="0"/>
        <v>552.20176299999991</v>
      </c>
      <c r="W25" s="3">
        <f t="shared" si="1"/>
        <v>552.20176300000014</v>
      </c>
      <c r="X25" s="3">
        <f t="shared" si="2"/>
        <v>0</v>
      </c>
    </row>
    <row r="26" spans="1:24" x14ac:dyDescent="0.15">
      <c r="A26" s="1" t="s">
        <v>184</v>
      </c>
      <c r="B26">
        <v>33.746451710000031</v>
      </c>
      <c r="C26">
        <v>18.554486293999989</v>
      </c>
      <c r="D26">
        <v>0.51498999999999995</v>
      </c>
      <c r="E26">
        <v>911.38207442174996</v>
      </c>
      <c r="F26">
        <v>0.51498999999999995</v>
      </c>
      <c r="G26">
        <v>0</v>
      </c>
      <c r="I26">
        <v>0</v>
      </c>
      <c r="J26">
        <v>-0.14777266</v>
      </c>
      <c r="K26">
        <v>0</v>
      </c>
      <c r="L26">
        <v>3.3338972556000002</v>
      </c>
      <c r="M26">
        <v>0</v>
      </c>
      <c r="N26">
        <v>33.670841000000003</v>
      </c>
      <c r="O26">
        <v>54.453872132150003</v>
      </c>
      <c r="P26">
        <v>30.560008</v>
      </c>
      <c r="Q26">
        <v>606.57706699999994</v>
      </c>
      <c r="R26">
        <v>28.576777289999999</v>
      </c>
      <c r="S26">
        <v>20.848472500000003</v>
      </c>
      <c r="T26">
        <v>103.56194500000007</v>
      </c>
      <c r="U26">
        <v>44.843387</v>
      </c>
      <c r="V26" s="3">
        <f t="shared" si="0"/>
        <v>945.49574347174996</v>
      </c>
      <c r="W26" s="3">
        <f t="shared" si="1"/>
        <v>945.49574347174985</v>
      </c>
      <c r="X26" s="3">
        <f t="shared" si="2"/>
        <v>0</v>
      </c>
    </row>
    <row r="27" spans="1:24" x14ac:dyDescent="0.15">
      <c r="A27" s="1" t="s">
        <v>185</v>
      </c>
      <c r="B27">
        <v>66.399951999999985</v>
      </c>
      <c r="C27">
        <v>235.14961800000003</v>
      </c>
      <c r="D27">
        <v>71.518284000000008</v>
      </c>
      <c r="E27">
        <v>1.9956779999999996</v>
      </c>
      <c r="F27">
        <v>1.1624060000000001</v>
      </c>
      <c r="G27">
        <v>0</v>
      </c>
      <c r="I27">
        <v>0</v>
      </c>
      <c r="J27">
        <v>2131.0369909999999</v>
      </c>
      <c r="K27">
        <v>0</v>
      </c>
      <c r="L27">
        <v>2.1682270000000003</v>
      </c>
      <c r="M27">
        <v>0</v>
      </c>
      <c r="N27">
        <v>48.773787999999996</v>
      </c>
      <c r="O27">
        <v>95.906647000000007</v>
      </c>
      <c r="P27">
        <v>22.643830000000005</v>
      </c>
      <c r="Q27">
        <v>449.00325400000003</v>
      </c>
      <c r="R27">
        <v>63.527090000000008</v>
      </c>
      <c r="S27">
        <v>26.271467000000001</v>
      </c>
      <c r="T27">
        <v>220.28359999999998</v>
      </c>
      <c r="U27">
        <v>965.34922200000005</v>
      </c>
      <c r="V27" s="3">
        <f t="shared" si="0"/>
        <v>2200.5950269999998</v>
      </c>
      <c r="W27" s="3">
        <f t="shared" si="1"/>
        <v>2200.5950270000003</v>
      </c>
      <c r="X27" s="3">
        <f t="shared" si="2"/>
        <v>0</v>
      </c>
    </row>
    <row r="28" spans="1:24" x14ac:dyDescent="0.15">
      <c r="A28" s="1" t="s">
        <v>186</v>
      </c>
      <c r="B28">
        <v>87.242686000000063</v>
      </c>
      <c r="C28">
        <v>1096.1596470000002</v>
      </c>
      <c r="D28">
        <v>208.08927999999997</v>
      </c>
      <c r="E28">
        <v>0</v>
      </c>
      <c r="F28">
        <v>0</v>
      </c>
      <c r="G28">
        <v>0</v>
      </c>
      <c r="I28">
        <v>0</v>
      </c>
      <c r="J28">
        <v>1863.8208550000002</v>
      </c>
      <c r="K28">
        <v>0</v>
      </c>
      <c r="L28">
        <v>35.132477999999999</v>
      </c>
      <c r="M28">
        <v>0</v>
      </c>
      <c r="N28">
        <v>40.204294000000004</v>
      </c>
      <c r="O28">
        <v>228.14962399999999</v>
      </c>
      <c r="P28">
        <v>28.186208000000001</v>
      </c>
      <c r="Q28">
        <v>187.88840000000002</v>
      </c>
      <c r="R28">
        <v>7.0095369999999999</v>
      </c>
      <c r="S28">
        <v>10.472178</v>
      </c>
      <c r="T28">
        <v>11.492437999999984</v>
      </c>
      <c r="U28">
        <v>98.279456999999994</v>
      </c>
      <c r="V28" s="3">
        <f t="shared" si="0"/>
        <v>1951.0635410000002</v>
      </c>
      <c r="W28" s="3">
        <f t="shared" si="1"/>
        <v>1951.0635409999998</v>
      </c>
      <c r="X28" s="3">
        <f t="shared" si="2"/>
        <v>0</v>
      </c>
    </row>
    <row r="29" spans="1:24" x14ac:dyDescent="0.15">
      <c r="A29" s="1" t="s">
        <v>187</v>
      </c>
      <c r="B29">
        <v>13.766396999999998</v>
      </c>
      <c r="C29">
        <v>38.51301205</v>
      </c>
      <c r="D29">
        <v>0</v>
      </c>
      <c r="E29">
        <v>26.241045962000008</v>
      </c>
      <c r="F29">
        <v>0</v>
      </c>
      <c r="G29">
        <v>0</v>
      </c>
      <c r="I29">
        <v>0</v>
      </c>
      <c r="J29">
        <v>147.22251924</v>
      </c>
      <c r="K29">
        <v>0</v>
      </c>
      <c r="L29">
        <v>0.66509966600000003</v>
      </c>
      <c r="M29">
        <v>0</v>
      </c>
      <c r="N29">
        <v>4.2548900000000005</v>
      </c>
      <c r="O29">
        <v>43.645381</v>
      </c>
      <c r="P29">
        <v>6.9198249999999994</v>
      </c>
      <c r="Q29">
        <v>55.801902000000005</v>
      </c>
      <c r="R29">
        <v>3.5780609999999999</v>
      </c>
      <c r="S29">
        <v>10.310623</v>
      </c>
      <c r="T29">
        <v>10.107213142999997</v>
      </c>
      <c r="U29">
        <v>13.433971486000003</v>
      </c>
      <c r="V29" s="3">
        <f t="shared" si="0"/>
        <v>187.229962202</v>
      </c>
      <c r="W29" s="3">
        <f t="shared" si="1"/>
        <v>187.22997834500001</v>
      </c>
      <c r="X29" s="3">
        <f t="shared" si="2"/>
        <v>-1.6143000010515607E-5</v>
      </c>
    </row>
    <row r="30" spans="1:24" x14ac:dyDescent="0.15">
      <c r="A30" s="1" t="s">
        <v>188</v>
      </c>
      <c r="B30">
        <v>14.121233000000005</v>
      </c>
      <c r="C30">
        <v>59.686955000000005</v>
      </c>
      <c r="D30">
        <v>0</v>
      </c>
      <c r="E30">
        <v>53.510663999999998</v>
      </c>
      <c r="F30">
        <v>0</v>
      </c>
      <c r="G30">
        <v>0</v>
      </c>
      <c r="I30">
        <v>0</v>
      </c>
      <c r="J30">
        <v>215.76314199999999</v>
      </c>
      <c r="K30">
        <v>0</v>
      </c>
      <c r="L30">
        <v>0</v>
      </c>
      <c r="M30">
        <v>0</v>
      </c>
      <c r="N30">
        <v>8.0312099999999997</v>
      </c>
      <c r="O30">
        <v>58.911924999999997</v>
      </c>
      <c r="P30">
        <v>5.12845</v>
      </c>
      <c r="Q30">
        <v>115.430611</v>
      </c>
      <c r="R30">
        <v>7.3284000000000002</v>
      </c>
      <c r="S30">
        <v>7.3284000000000002</v>
      </c>
      <c r="T30">
        <v>6.8060020000000208</v>
      </c>
      <c r="U30">
        <v>14.743086</v>
      </c>
      <c r="V30" s="3">
        <f t="shared" si="0"/>
        <v>283.395039</v>
      </c>
      <c r="W30" s="3">
        <f t="shared" si="1"/>
        <v>283.395039</v>
      </c>
      <c r="X30" s="3">
        <f t="shared" si="2"/>
        <v>0</v>
      </c>
    </row>
    <row r="31" spans="1:24" x14ac:dyDescent="0.15">
      <c r="A31" s="1" t="s">
        <v>189</v>
      </c>
      <c r="B31">
        <v>70.541374000000033</v>
      </c>
      <c r="C31">
        <v>1148.5364160000001</v>
      </c>
      <c r="D31">
        <v>2.8085169999999997</v>
      </c>
      <c r="E31">
        <v>48.632196999999998</v>
      </c>
      <c r="F31">
        <v>10.444292000000001</v>
      </c>
      <c r="G31">
        <v>0</v>
      </c>
      <c r="I31">
        <v>0</v>
      </c>
      <c r="J31">
        <v>2319.0348640000002</v>
      </c>
      <c r="K31">
        <v>0</v>
      </c>
      <c r="L31">
        <v>85.634102999999996</v>
      </c>
      <c r="M31">
        <v>0</v>
      </c>
      <c r="N31">
        <v>105.31679400000002</v>
      </c>
      <c r="O31">
        <v>436.44706400000001</v>
      </c>
      <c r="P31">
        <v>27.532389999999999</v>
      </c>
      <c r="Q31">
        <v>380.35149200000006</v>
      </c>
      <c r="R31">
        <v>55.678711999999997</v>
      </c>
      <c r="S31">
        <v>71.203111000000007</v>
      </c>
      <c r="T31">
        <v>48.460019000000038</v>
      </c>
      <c r="U31">
        <v>86.684109000000007</v>
      </c>
      <c r="V31" s="3">
        <f t="shared" si="0"/>
        <v>2448.6527270000001</v>
      </c>
      <c r="W31" s="3">
        <f t="shared" si="1"/>
        <v>2448.6527269999997</v>
      </c>
      <c r="X31" s="3">
        <f t="shared" si="2"/>
        <v>0</v>
      </c>
    </row>
    <row r="32" spans="1:24" x14ac:dyDescent="0.15">
      <c r="B32" s="3">
        <f>SUM(B2:B31)</f>
        <v>2526.0712645291992</v>
      </c>
      <c r="C32" s="3">
        <f t="shared" ref="C32:U32" si="3">SUM(C2:C31)</f>
        <v>27536.227846332986</v>
      </c>
      <c r="D32" s="3">
        <f t="shared" si="3"/>
        <v>1769.1340004099995</v>
      </c>
      <c r="E32" s="3">
        <f t="shared" si="3"/>
        <v>30685.893977509953</v>
      </c>
      <c r="F32" s="3">
        <f t="shared" si="3"/>
        <v>4240.6721998400017</v>
      </c>
      <c r="G32" s="3">
        <f t="shared" si="3"/>
        <v>0</v>
      </c>
      <c r="H32" s="3">
        <f t="shared" si="3"/>
        <v>0</v>
      </c>
      <c r="I32" s="3">
        <f t="shared" si="3"/>
        <v>0</v>
      </c>
      <c r="J32" s="3">
        <f t="shared" si="3"/>
        <v>45812.516044675009</v>
      </c>
      <c r="K32" s="3">
        <f t="shared" si="3"/>
        <v>0</v>
      </c>
      <c r="L32" s="3">
        <f t="shared" si="3"/>
        <v>1644.4688106210999</v>
      </c>
      <c r="M32" s="3">
        <f t="shared" si="3"/>
        <v>0</v>
      </c>
      <c r="N32" s="3">
        <f t="shared" si="3"/>
        <v>3191.6419472900006</v>
      </c>
      <c r="O32" s="3">
        <f t="shared" si="3"/>
        <v>15551.092100388581</v>
      </c>
      <c r="P32" s="3">
        <f t="shared" si="3"/>
        <v>1775.3873449999999</v>
      </c>
      <c r="Q32" s="3">
        <f t="shared" si="3"/>
        <v>19487.684670540002</v>
      </c>
      <c r="R32" s="3">
        <f t="shared" si="3"/>
        <v>2266.2466125700003</v>
      </c>
      <c r="S32" s="3">
        <f t="shared" si="3"/>
        <v>1858.9326323500004</v>
      </c>
      <c r="T32" s="3">
        <f t="shared" si="3"/>
        <v>4827.0479112030016</v>
      </c>
      <c r="U32" s="3">
        <f t="shared" si="3"/>
        <v>3357.2897244862997</v>
      </c>
    </row>
    <row r="33" spans="1:1" x14ac:dyDescent="0.15">
      <c r="A33" s="1" t="s">
        <v>11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3"/>
  <sheetViews>
    <sheetView zoomScale="70" zoomScaleNormal="70" workbookViewId="0">
      <selection activeCell="A2" sqref="A2:A31"/>
    </sheetView>
  </sheetViews>
  <sheetFormatPr defaultRowHeight="13.5" x14ac:dyDescent="0.15"/>
  <sheetData>
    <row r="1" spans="1:24" x14ac:dyDescent="0.15">
      <c r="B1" s="19" t="s">
        <v>0</v>
      </c>
      <c r="C1" t="s">
        <v>1</v>
      </c>
      <c r="D1" t="s">
        <v>2</v>
      </c>
      <c r="E1" t="s">
        <v>4</v>
      </c>
      <c r="F1" t="s">
        <v>3</v>
      </c>
      <c r="G1" t="s">
        <v>123</v>
      </c>
      <c r="H1" t="s">
        <v>124</v>
      </c>
      <c r="I1" t="s">
        <v>125</v>
      </c>
      <c r="J1" t="s">
        <v>126</v>
      </c>
      <c r="K1" s="19" t="s">
        <v>127</v>
      </c>
      <c r="L1" t="s">
        <v>128</v>
      </c>
      <c r="M1" t="s">
        <v>129</v>
      </c>
      <c r="N1" t="s">
        <v>5</v>
      </c>
      <c r="O1" t="s">
        <v>6</v>
      </c>
      <c r="P1" t="s">
        <v>7</v>
      </c>
      <c r="Q1" t="s">
        <v>122</v>
      </c>
      <c r="R1" t="s">
        <v>10</v>
      </c>
      <c r="S1" t="s">
        <v>8</v>
      </c>
      <c r="T1" t="s">
        <v>9</v>
      </c>
      <c r="U1" t="s">
        <v>118</v>
      </c>
    </row>
    <row r="2" spans="1:24" x14ac:dyDescent="0.15">
      <c r="A2" s="1" t="s">
        <v>130</v>
      </c>
      <c r="B2" s="3">
        <v>0</v>
      </c>
      <c r="C2">
        <v>0</v>
      </c>
      <c r="D2">
        <v>0</v>
      </c>
      <c r="E2">
        <v>620.31200000000001</v>
      </c>
      <c r="F2">
        <v>0</v>
      </c>
      <c r="G2">
        <v>0</v>
      </c>
      <c r="I2">
        <v>0</v>
      </c>
      <c r="J2">
        <v>0</v>
      </c>
      <c r="K2">
        <v>0</v>
      </c>
      <c r="L2">
        <v>147.09800000000001</v>
      </c>
      <c r="M2">
        <v>0</v>
      </c>
      <c r="N2">
        <v>0</v>
      </c>
      <c r="O2">
        <v>71.288000000000011</v>
      </c>
      <c r="P2">
        <v>4.6550000000000002</v>
      </c>
      <c r="Q2">
        <v>28.462000000000003</v>
      </c>
      <c r="R2">
        <v>74.347000000000008</v>
      </c>
      <c r="S2">
        <v>175.02800000000002</v>
      </c>
      <c r="T2">
        <v>119.43399999999997</v>
      </c>
      <c r="U2">
        <v>0</v>
      </c>
      <c r="V2" s="3">
        <f>B2+K2+E2+F2</f>
        <v>620.31200000000001</v>
      </c>
      <c r="W2" s="3">
        <f>C2+D2+SUM(G2:U2)-K2</f>
        <v>620.31200000000001</v>
      </c>
      <c r="X2" s="3">
        <f>V2-W2</f>
        <v>0</v>
      </c>
    </row>
    <row r="3" spans="1:24" x14ac:dyDescent="0.15">
      <c r="A3" s="1" t="s">
        <v>131</v>
      </c>
      <c r="B3">
        <v>177.422</v>
      </c>
      <c r="C3">
        <v>125.419</v>
      </c>
      <c r="D3">
        <v>0</v>
      </c>
      <c r="E3">
        <v>137.78800000000001</v>
      </c>
      <c r="F3">
        <v>0</v>
      </c>
      <c r="G3">
        <v>0</v>
      </c>
      <c r="I3">
        <v>0</v>
      </c>
      <c r="J3">
        <v>0</v>
      </c>
      <c r="K3">
        <v>0</v>
      </c>
      <c r="L3">
        <v>15.96</v>
      </c>
      <c r="M3">
        <v>0</v>
      </c>
      <c r="N3">
        <v>0</v>
      </c>
      <c r="O3">
        <v>92.036000000000001</v>
      </c>
      <c r="P3">
        <v>0</v>
      </c>
      <c r="Q3">
        <v>0</v>
      </c>
      <c r="R3">
        <v>34.846000000000004</v>
      </c>
      <c r="S3">
        <v>0.93100000000000016</v>
      </c>
      <c r="T3">
        <v>46.018000000000008</v>
      </c>
      <c r="U3">
        <v>0</v>
      </c>
      <c r="V3" s="3">
        <f t="shared" ref="V3:V31" si="0">B3+K3+E3+F3</f>
        <v>315.21000000000004</v>
      </c>
      <c r="W3" s="3">
        <f t="shared" ref="W3:W31" si="1">C3+D3+SUM(G3:U3)-K3</f>
        <v>315.21000000000004</v>
      </c>
      <c r="X3" s="3">
        <f t="shared" ref="X3:X31" si="2">V3-W3</f>
        <v>0</v>
      </c>
    </row>
    <row r="4" spans="1:24" x14ac:dyDescent="0.15">
      <c r="A4" s="1" t="s">
        <v>132</v>
      </c>
      <c r="B4">
        <v>94.962000000000018</v>
      </c>
      <c r="C4">
        <v>56.392000000000003</v>
      </c>
      <c r="D4">
        <v>0</v>
      </c>
      <c r="E4">
        <v>121.70313960000001</v>
      </c>
      <c r="F4">
        <v>0</v>
      </c>
      <c r="G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142.91663960000002</v>
      </c>
      <c r="P4">
        <v>0</v>
      </c>
      <c r="Q4">
        <v>4.6523400000000006</v>
      </c>
      <c r="R4">
        <v>2.6280800000000002</v>
      </c>
      <c r="S4">
        <v>5.3732000000000006</v>
      </c>
      <c r="T4">
        <v>4.7028799999999951</v>
      </c>
      <c r="U4">
        <v>0</v>
      </c>
      <c r="V4" s="3">
        <f t="shared" si="0"/>
        <v>216.66513960000003</v>
      </c>
      <c r="W4" s="3">
        <f t="shared" si="1"/>
        <v>216.66513960000003</v>
      </c>
      <c r="X4" s="3">
        <f t="shared" si="2"/>
        <v>0</v>
      </c>
    </row>
    <row r="5" spans="1:24" x14ac:dyDescent="0.15">
      <c r="A5" s="1" t="s">
        <v>133</v>
      </c>
      <c r="B5">
        <v>91.903000000000006</v>
      </c>
      <c r="C5">
        <v>0</v>
      </c>
      <c r="D5">
        <v>0</v>
      </c>
      <c r="E5">
        <v>0</v>
      </c>
      <c r="F5">
        <v>0</v>
      </c>
      <c r="G5">
        <v>0</v>
      </c>
      <c r="I5">
        <v>0</v>
      </c>
      <c r="J5">
        <v>0</v>
      </c>
      <c r="K5">
        <v>0</v>
      </c>
      <c r="L5">
        <v>7.1820000000000013</v>
      </c>
      <c r="M5">
        <v>0</v>
      </c>
      <c r="N5">
        <v>0</v>
      </c>
      <c r="O5">
        <v>57.45600000000001</v>
      </c>
      <c r="P5">
        <v>0</v>
      </c>
      <c r="Q5">
        <v>7.3150000000000013</v>
      </c>
      <c r="R5">
        <v>2.9260000000000002</v>
      </c>
      <c r="S5">
        <v>1.5960000000000001</v>
      </c>
      <c r="T5">
        <v>15.427999999999997</v>
      </c>
      <c r="U5">
        <v>0</v>
      </c>
      <c r="V5" s="3">
        <f t="shared" si="0"/>
        <v>91.903000000000006</v>
      </c>
      <c r="W5" s="3">
        <f t="shared" si="1"/>
        <v>91.903000000000006</v>
      </c>
      <c r="X5" s="3">
        <f t="shared" si="2"/>
        <v>0</v>
      </c>
    </row>
    <row r="6" spans="1:24" x14ac:dyDescent="0.15">
      <c r="A6" s="1" t="s">
        <v>134</v>
      </c>
      <c r="B6">
        <v>937.37868000000014</v>
      </c>
      <c r="C6">
        <v>584.82641630000012</v>
      </c>
      <c r="D6">
        <v>0</v>
      </c>
      <c r="E6">
        <v>0</v>
      </c>
      <c r="F6">
        <v>0</v>
      </c>
      <c r="G6">
        <v>0</v>
      </c>
      <c r="I6">
        <v>0</v>
      </c>
      <c r="J6">
        <v>0</v>
      </c>
      <c r="K6">
        <v>0</v>
      </c>
      <c r="L6">
        <v>56.207981199999999</v>
      </c>
      <c r="M6">
        <v>0</v>
      </c>
      <c r="N6">
        <v>0</v>
      </c>
      <c r="O6">
        <v>224.97249250000002</v>
      </c>
      <c r="P6">
        <v>0</v>
      </c>
      <c r="Q6">
        <v>3.99</v>
      </c>
      <c r="R6">
        <v>2.3940000000000001</v>
      </c>
      <c r="S6">
        <v>3.4580000000000002</v>
      </c>
      <c r="T6">
        <v>61.529789999999998</v>
      </c>
      <c r="U6">
        <v>0</v>
      </c>
      <c r="V6" s="3">
        <f t="shared" si="0"/>
        <v>937.37868000000014</v>
      </c>
      <c r="W6" s="3">
        <f t="shared" si="1"/>
        <v>937.37868000000014</v>
      </c>
      <c r="X6" s="3">
        <f t="shared" si="2"/>
        <v>0</v>
      </c>
    </row>
    <row r="7" spans="1:24" x14ac:dyDescent="0.15">
      <c r="A7" s="2" t="s">
        <v>135</v>
      </c>
      <c r="B7">
        <v>115.97600000000001</v>
      </c>
      <c r="C7">
        <v>0</v>
      </c>
      <c r="D7">
        <v>0</v>
      </c>
      <c r="E7">
        <v>73.415999999999997</v>
      </c>
      <c r="F7">
        <v>0</v>
      </c>
      <c r="G7">
        <v>0</v>
      </c>
      <c r="I7">
        <v>0</v>
      </c>
      <c r="J7">
        <v>0</v>
      </c>
      <c r="K7">
        <v>0</v>
      </c>
      <c r="L7">
        <v>0.66500000000000004</v>
      </c>
      <c r="M7">
        <v>0</v>
      </c>
      <c r="N7">
        <v>0</v>
      </c>
      <c r="O7">
        <v>185.00300000000001</v>
      </c>
      <c r="P7">
        <v>0</v>
      </c>
      <c r="Q7">
        <v>0</v>
      </c>
      <c r="R7">
        <v>3.7240000000000006</v>
      </c>
      <c r="S7">
        <v>0</v>
      </c>
      <c r="T7">
        <v>0</v>
      </c>
      <c r="U7">
        <v>0</v>
      </c>
      <c r="V7" s="3">
        <f t="shared" si="0"/>
        <v>189.392</v>
      </c>
      <c r="W7" s="3">
        <f t="shared" si="1"/>
        <v>189.392</v>
      </c>
      <c r="X7" s="3">
        <f t="shared" si="2"/>
        <v>0</v>
      </c>
    </row>
    <row r="8" spans="1:24" x14ac:dyDescent="0.15">
      <c r="A8" s="1" t="s">
        <v>136</v>
      </c>
      <c r="B8">
        <v>32.053000000000004</v>
      </c>
      <c r="C8">
        <v>0</v>
      </c>
      <c r="D8">
        <v>0</v>
      </c>
      <c r="E8">
        <v>53.997999999999998</v>
      </c>
      <c r="F8">
        <v>0</v>
      </c>
      <c r="G8">
        <v>0</v>
      </c>
      <c r="I8">
        <v>0</v>
      </c>
      <c r="J8">
        <v>0</v>
      </c>
      <c r="K8">
        <v>0</v>
      </c>
      <c r="L8">
        <v>8.9110000000000014</v>
      </c>
      <c r="M8">
        <v>0</v>
      </c>
      <c r="N8">
        <v>0</v>
      </c>
      <c r="O8">
        <v>71.288000000000011</v>
      </c>
      <c r="P8">
        <v>0</v>
      </c>
      <c r="Q8">
        <v>0</v>
      </c>
      <c r="R8">
        <v>0.66500000000000004</v>
      </c>
      <c r="S8">
        <v>0</v>
      </c>
      <c r="T8">
        <v>5.1869999999999941</v>
      </c>
      <c r="U8">
        <v>0</v>
      </c>
      <c r="V8" s="3">
        <f t="shared" si="0"/>
        <v>86.051000000000002</v>
      </c>
      <c r="W8" s="3">
        <f t="shared" si="1"/>
        <v>86.051000000000016</v>
      </c>
      <c r="X8" s="3">
        <f t="shared" si="2"/>
        <v>0</v>
      </c>
    </row>
    <row r="9" spans="1:24" x14ac:dyDescent="0.15">
      <c r="A9" s="1" t="s">
        <v>137</v>
      </c>
      <c r="B9">
        <v>339.15000000000003</v>
      </c>
      <c r="C9">
        <v>0</v>
      </c>
      <c r="D9">
        <v>0</v>
      </c>
      <c r="E9">
        <v>69.16</v>
      </c>
      <c r="F9">
        <v>0</v>
      </c>
      <c r="G9">
        <v>0</v>
      </c>
      <c r="I9">
        <v>0</v>
      </c>
      <c r="J9">
        <v>0</v>
      </c>
      <c r="K9">
        <v>0</v>
      </c>
      <c r="L9">
        <v>79.400999999999996</v>
      </c>
      <c r="M9">
        <v>0</v>
      </c>
      <c r="N9">
        <v>0</v>
      </c>
      <c r="O9">
        <v>328.90900000000005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 s="3">
        <f t="shared" si="0"/>
        <v>408.31000000000006</v>
      </c>
      <c r="W9" s="3">
        <f t="shared" si="1"/>
        <v>408.31000000000006</v>
      </c>
      <c r="X9" s="3">
        <f t="shared" si="2"/>
        <v>0</v>
      </c>
    </row>
    <row r="10" spans="1:24" x14ac:dyDescent="0.15">
      <c r="A10" s="1" t="s">
        <v>138</v>
      </c>
      <c r="B10">
        <v>67.431000000000012</v>
      </c>
      <c r="C10">
        <v>0</v>
      </c>
      <c r="D10">
        <v>0</v>
      </c>
      <c r="E10">
        <v>301.98076849425507</v>
      </c>
      <c r="F10">
        <v>0</v>
      </c>
      <c r="G10">
        <v>0</v>
      </c>
      <c r="I10">
        <v>0</v>
      </c>
      <c r="J10">
        <v>0</v>
      </c>
      <c r="K10">
        <v>-34.846000000000004</v>
      </c>
      <c r="L10">
        <v>100.54800000000002</v>
      </c>
      <c r="M10">
        <v>0</v>
      </c>
      <c r="N10">
        <v>0</v>
      </c>
      <c r="O10">
        <v>141.18376849425513</v>
      </c>
      <c r="P10">
        <v>0.13300000000000001</v>
      </c>
      <c r="Q10">
        <v>2.5270000000000001</v>
      </c>
      <c r="R10">
        <v>7.7139999999999995</v>
      </c>
      <c r="S10">
        <v>21.28</v>
      </c>
      <c r="T10">
        <v>61.17999999999995</v>
      </c>
      <c r="U10">
        <v>0</v>
      </c>
      <c r="V10" s="3">
        <f t="shared" si="0"/>
        <v>334.56576849425505</v>
      </c>
      <c r="W10" s="3">
        <f t="shared" si="1"/>
        <v>334.56576849425511</v>
      </c>
      <c r="X10" s="3">
        <f t="shared" si="2"/>
        <v>0</v>
      </c>
    </row>
    <row r="11" spans="1:24" x14ac:dyDescent="0.15">
      <c r="A11" s="1" t="s">
        <v>139</v>
      </c>
      <c r="B11">
        <v>7.7139999999999631</v>
      </c>
      <c r="C11">
        <v>0.39900000000000002</v>
      </c>
      <c r="D11">
        <v>0</v>
      </c>
      <c r="E11">
        <v>585.59900000000005</v>
      </c>
      <c r="F11">
        <v>0</v>
      </c>
      <c r="G11">
        <v>0</v>
      </c>
      <c r="I11">
        <v>0</v>
      </c>
      <c r="J11">
        <v>0</v>
      </c>
      <c r="K11">
        <v>-0.66500000000000004</v>
      </c>
      <c r="L11">
        <v>299.11700000000002</v>
      </c>
      <c r="M11">
        <v>0</v>
      </c>
      <c r="N11">
        <v>0</v>
      </c>
      <c r="O11">
        <v>240.33100000000002</v>
      </c>
      <c r="P11">
        <v>0</v>
      </c>
      <c r="Q11">
        <v>2.9260000000000002</v>
      </c>
      <c r="R11">
        <v>3.99</v>
      </c>
      <c r="S11">
        <v>0</v>
      </c>
      <c r="T11">
        <v>45.884999999999984</v>
      </c>
      <c r="U11">
        <v>0</v>
      </c>
      <c r="V11" s="3">
        <f t="shared" si="0"/>
        <v>592.64800000000002</v>
      </c>
      <c r="W11" s="3">
        <f t="shared" si="1"/>
        <v>592.64800000000002</v>
      </c>
      <c r="X11" s="3">
        <f t="shared" si="2"/>
        <v>0</v>
      </c>
    </row>
    <row r="12" spans="1:24" x14ac:dyDescent="0.15">
      <c r="A12" s="1" t="s">
        <v>140</v>
      </c>
      <c r="B12">
        <v>0</v>
      </c>
      <c r="C12">
        <v>22.797529999999988</v>
      </c>
      <c r="D12">
        <v>0</v>
      </c>
      <c r="E12">
        <v>240.59700000000001</v>
      </c>
      <c r="F12">
        <v>0</v>
      </c>
      <c r="G12">
        <v>0</v>
      </c>
      <c r="I12">
        <v>0</v>
      </c>
      <c r="J12">
        <v>0</v>
      </c>
      <c r="K12">
        <v>0</v>
      </c>
      <c r="L12">
        <v>147.48370000000003</v>
      </c>
      <c r="M12">
        <v>0</v>
      </c>
      <c r="N12">
        <v>0</v>
      </c>
      <c r="O12">
        <v>55.860000000000007</v>
      </c>
      <c r="P12">
        <v>0</v>
      </c>
      <c r="Q12">
        <v>0</v>
      </c>
      <c r="R12">
        <v>1.33</v>
      </c>
      <c r="S12">
        <v>0</v>
      </c>
      <c r="T12">
        <v>13.125770000000001</v>
      </c>
      <c r="U12">
        <v>0</v>
      </c>
      <c r="V12" s="3">
        <f t="shared" si="0"/>
        <v>240.59700000000001</v>
      </c>
      <c r="W12" s="3">
        <f t="shared" si="1"/>
        <v>240.59700000000004</v>
      </c>
      <c r="X12" s="3">
        <f t="shared" si="2"/>
        <v>0</v>
      </c>
    </row>
    <row r="13" spans="1:24" x14ac:dyDescent="0.15">
      <c r="A13" s="1" t="s">
        <v>141</v>
      </c>
      <c r="B13">
        <v>0</v>
      </c>
      <c r="C13">
        <v>0.27436846242955437</v>
      </c>
      <c r="D13">
        <v>0</v>
      </c>
      <c r="E13">
        <v>53.865000000000002</v>
      </c>
      <c r="F13">
        <v>0</v>
      </c>
      <c r="G13">
        <v>0</v>
      </c>
      <c r="I13">
        <v>0</v>
      </c>
      <c r="J13">
        <v>0</v>
      </c>
      <c r="K13">
        <v>0</v>
      </c>
      <c r="L13">
        <v>2.9260000000000002</v>
      </c>
      <c r="M13">
        <v>0</v>
      </c>
      <c r="N13">
        <v>0</v>
      </c>
      <c r="O13">
        <v>28.187631537570443</v>
      </c>
      <c r="P13">
        <v>0</v>
      </c>
      <c r="Q13">
        <v>0.26600000000000001</v>
      </c>
      <c r="R13">
        <v>5.32</v>
      </c>
      <c r="S13">
        <v>0</v>
      </c>
      <c r="T13">
        <v>16.891000000000002</v>
      </c>
      <c r="U13">
        <v>0</v>
      </c>
      <c r="V13" s="3">
        <f t="shared" si="0"/>
        <v>53.865000000000002</v>
      </c>
      <c r="W13" s="3">
        <f t="shared" si="1"/>
        <v>53.865000000000002</v>
      </c>
      <c r="X13" s="3">
        <f t="shared" si="2"/>
        <v>0</v>
      </c>
    </row>
    <row r="14" spans="1:24" x14ac:dyDescent="0.15">
      <c r="A14" s="1" t="s">
        <v>142</v>
      </c>
      <c r="B14">
        <v>0</v>
      </c>
      <c r="C14">
        <v>0</v>
      </c>
      <c r="D14">
        <v>0</v>
      </c>
      <c r="E14">
        <v>6.3840000000000003</v>
      </c>
      <c r="F14">
        <v>0</v>
      </c>
      <c r="G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6.3840000000000003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6.3840000000000003</v>
      </c>
      <c r="W14" s="3">
        <f t="shared" si="1"/>
        <v>6.3840000000000003</v>
      </c>
      <c r="X14" s="3">
        <f t="shared" si="2"/>
        <v>0</v>
      </c>
    </row>
    <row r="15" spans="1:24" x14ac:dyDescent="0.15">
      <c r="A15" s="1" t="s">
        <v>143</v>
      </c>
      <c r="B15">
        <v>5.8520000000000012</v>
      </c>
      <c r="C15">
        <v>0</v>
      </c>
      <c r="D15">
        <v>0</v>
      </c>
      <c r="E15">
        <v>7.98</v>
      </c>
      <c r="F15">
        <v>0</v>
      </c>
      <c r="G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5.32</v>
      </c>
      <c r="P15">
        <v>0</v>
      </c>
      <c r="Q15">
        <v>0</v>
      </c>
      <c r="R15">
        <v>3.5910000000000006</v>
      </c>
      <c r="S15">
        <v>0</v>
      </c>
      <c r="T15">
        <v>4.9210000000000003</v>
      </c>
      <c r="U15">
        <v>0</v>
      </c>
      <c r="V15" s="3">
        <f t="shared" si="0"/>
        <v>13.832000000000001</v>
      </c>
      <c r="W15" s="3">
        <f t="shared" si="1"/>
        <v>13.832000000000001</v>
      </c>
      <c r="X15" s="3">
        <f t="shared" si="2"/>
        <v>0</v>
      </c>
    </row>
    <row r="16" spans="1:24" x14ac:dyDescent="0.15">
      <c r="A16" s="1" t="s">
        <v>144</v>
      </c>
      <c r="B16">
        <v>109.06</v>
      </c>
      <c r="C16">
        <v>0</v>
      </c>
      <c r="D16">
        <v>0</v>
      </c>
      <c r="E16">
        <v>201.29363800000002</v>
      </c>
      <c r="F16">
        <v>0</v>
      </c>
      <c r="G16">
        <v>0</v>
      </c>
      <c r="I16">
        <v>0</v>
      </c>
      <c r="J16">
        <v>0</v>
      </c>
      <c r="K16">
        <v>0</v>
      </c>
      <c r="L16">
        <v>5.1186380000000007</v>
      </c>
      <c r="M16">
        <v>0</v>
      </c>
      <c r="N16">
        <v>0</v>
      </c>
      <c r="O16">
        <v>199.5</v>
      </c>
      <c r="P16">
        <v>0</v>
      </c>
      <c r="Q16">
        <v>9.9750000000000014</v>
      </c>
      <c r="R16">
        <v>15.96</v>
      </c>
      <c r="S16">
        <v>14.630000000000003</v>
      </c>
      <c r="T16">
        <v>65.169999999999987</v>
      </c>
      <c r="U16">
        <v>0</v>
      </c>
      <c r="V16" s="3">
        <f t="shared" si="0"/>
        <v>310.35363800000005</v>
      </c>
      <c r="W16" s="3">
        <f t="shared" si="1"/>
        <v>310.35363799999999</v>
      </c>
      <c r="X16" s="3">
        <f t="shared" si="2"/>
        <v>0</v>
      </c>
    </row>
    <row r="17" spans="1:24" x14ac:dyDescent="0.15">
      <c r="A17" s="1" t="s">
        <v>145</v>
      </c>
      <c r="B17">
        <v>209.60800000000006</v>
      </c>
      <c r="C17">
        <v>22.876000000000001</v>
      </c>
      <c r="D17">
        <v>0</v>
      </c>
      <c r="E17">
        <v>254.02999999999997</v>
      </c>
      <c r="F17">
        <v>0</v>
      </c>
      <c r="G17">
        <v>0</v>
      </c>
      <c r="I17">
        <v>0</v>
      </c>
      <c r="J17">
        <v>0</v>
      </c>
      <c r="K17">
        <v>0</v>
      </c>
      <c r="L17">
        <v>11.305</v>
      </c>
      <c r="M17">
        <v>0</v>
      </c>
      <c r="N17">
        <v>0</v>
      </c>
      <c r="O17">
        <v>355.90800000000002</v>
      </c>
      <c r="P17">
        <v>0</v>
      </c>
      <c r="Q17">
        <v>0.26600000000000001</v>
      </c>
      <c r="R17">
        <v>6.7830000000000004</v>
      </c>
      <c r="S17">
        <v>0</v>
      </c>
      <c r="T17">
        <v>66.499999999999986</v>
      </c>
      <c r="U17">
        <v>0</v>
      </c>
      <c r="V17" s="3">
        <f t="shared" si="0"/>
        <v>463.63800000000003</v>
      </c>
      <c r="W17" s="3">
        <f t="shared" si="1"/>
        <v>463.63800000000003</v>
      </c>
      <c r="X17" s="3">
        <f t="shared" si="2"/>
        <v>0</v>
      </c>
    </row>
    <row r="18" spans="1:24" x14ac:dyDescent="0.15">
      <c r="A18" s="1" t="s">
        <v>146</v>
      </c>
      <c r="B18">
        <v>16.492000000000015</v>
      </c>
      <c r="C18">
        <v>0</v>
      </c>
      <c r="D18">
        <v>0</v>
      </c>
      <c r="E18">
        <v>98.287000000000006</v>
      </c>
      <c r="F18">
        <v>0</v>
      </c>
      <c r="G18">
        <v>0</v>
      </c>
      <c r="I18">
        <v>0</v>
      </c>
      <c r="J18">
        <v>0</v>
      </c>
      <c r="K18">
        <v>0</v>
      </c>
      <c r="L18">
        <v>2.3940000000000001</v>
      </c>
      <c r="M18">
        <v>0</v>
      </c>
      <c r="N18">
        <v>0.53200000000000003</v>
      </c>
      <c r="O18">
        <v>69.957999999999998</v>
      </c>
      <c r="P18">
        <v>0</v>
      </c>
      <c r="Q18">
        <v>0</v>
      </c>
      <c r="R18">
        <v>0</v>
      </c>
      <c r="S18">
        <v>0</v>
      </c>
      <c r="T18">
        <v>41.89500000000001</v>
      </c>
      <c r="U18">
        <v>0</v>
      </c>
      <c r="V18" s="3">
        <f t="shared" si="0"/>
        <v>114.77900000000002</v>
      </c>
      <c r="W18" s="3">
        <f t="shared" si="1"/>
        <v>114.77900000000001</v>
      </c>
      <c r="X18" s="3">
        <f t="shared" si="2"/>
        <v>0</v>
      </c>
    </row>
    <row r="19" spans="1:24" x14ac:dyDescent="0.15">
      <c r="A19" s="1" t="s">
        <v>147</v>
      </c>
      <c r="B19">
        <v>0</v>
      </c>
      <c r="C19">
        <v>0</v>
      </c>
      <c r="D19">
        <v>0</v>
      </c>
      <c r="E19">
        <v>77.671999999999997</v>
      </c>
      <c r="F19">
        <v>0</v>
      </c>
      <c r="G19">
        <v>0</v>
      </c>
      <c r="I19">
        <v>0</v>
      </c>
      <c r="J19">
        <v>0</v>
      </c>
      <c r="K19">
        <v>0</v>
      </c>
      <c r="L19">
        <v>1.9950000000000001</v>
      </c>
      <c r="M19">
        <v>0</v>
      </c>
      <c r="N19">
        <v>0</v>
      </c>
      <c r="O19">
        <v>46.683</v>
      </c>
      <c r="P19">
        <v>0.39900000000000002</v>
      </c>
      <c r="Q19">
        <v>0.39900000000000002</v>
      </c>
      <c r="R19">
        <v>13.965000000000002</v>
      </c>
      <c r="S19">
        <v>0</v>
      </c>
      <c r="T19">
        <v>14.231000000000014</v>
      </c>
      <c r="U19">
        <v>0</v>
      </c>
      <c r="V19" s="3">
        <f t="shared" si="0"/>
        <v>77.671999999999997</v>
      </c>
      <c r="W19" s="3">
        <f t="shared" si="1"/>
        <v>77.672000000000011</v>
      </c>
      <c r="X19" s="3">
        <f t="shared" si="2"/>
        <v>0</v>
      </c>
    </row>
    <row r="20" spans="1:24" x14ac:dyDescent="0.15">
      <c r="A20" s="1" t="s">
        <v>148</v>
      </c>
      <c r="B20">
        <v>711.68300000000011</v>
      </c>
      <c r="C20">
        <v>864.89900000000011</v>
      </c>
      <c r="D20">
        <v>99.085000000000008</v>
      </c>
      <c r="E20">
        <v>333.16500000000002</v>
      </c>
      <c r="F20">
        <v>534.66000000000008</v>
      </c>
      <c r="G20">
        <v>0</v>
      </c>
      <c r="I20">
        <v>0</v>
      </c>
      <c r="J20">
        <v>0</v>
      </c>
      <c r="K20">
        <v>-15.694000000000001</v>
      </c>
      <c r="L20">
        <v>432.3830000000001</v>
      </c>
      <c r="M20">
        <v>0</v>
      </c>
      <c r="N20">
        <v>0</v>
      </c>
      <c r="O20">
        <v>61.845000000000006</v>
      </c>
      <c r="P20">
        <v>0</v>
      </c>
      <c r="Q20">
        <v>0</v>
      </c>
      <c r="R20">
        <v>0</v>
      </c>
      <c r="S20">
        <v>0</v>
      </c>
      <c r="T20">
        <v>97.754999999999995</v>
      </c>
      <c r="U20">
        <v>7.8470000000000004</v>
      </c>
      <c r="V20" s="3">
        <f t="shared" si="0"/>
        <v>1563.8140000000003</v>
      </c>
      <c r="W20" s="3">
        <f t="shared" si="1"/>
        <v>1563.8140000000003</v>
      </c>
      <c r="X20" s="3">
        <f t="shared" si="2"/>
        <v>0</v>
      </c>
    </row>
    <row r="21" spans="1:24" x14ac:dyDescent="0.15">
      <c r="A21" s="1" t="s">
        <v>149</v>
      </c>
      <c r="B21">
        <v>0</v>
      </c>
      <c r="C21">
        <v>0</v>
      </c>
      <c r="D21">
        <v>0</v>
      </c>
      <c r="E21">
        <v>17.879190000000001</v>
      </c>
      <c r="F21">
        <v>0</v>
      </c>
      <c r="G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7.9041900000000007</v>
      </c>
      <c r="P21">
        <v>0</v>
      </c>
      <c r="Q21">
        <v>0</v>
      </c>
      <c r="R21">
        <v>0</v>
      </c>
      <c r="S21">
        <v>0</v>
      </c>
      <c r="T21">
        <v>9.9750000000000014</v>
      </c>
      <c r="U21">
        <v>0</v>
      </c>
      <c r="V21" s="3">
        <f t="shared" si="0"/>
        <v>17.879190000000001</v>
      </c>
      <c r="W21" s="3">
        <f t="shared" si="1"/>
        <v>17.879190000000001</v>
      </c>
      <c r="X21" s="3">
        <f t="shared" si="2"/>
        <v>0</v>
      </c>
    </row>
    <row r="22" spans="1:24" x14ac:dyDescent="0.15">
      <c r="A22" s="1" t="s">
        <v>150</v>
      </c>
      <c r="B22">
        <v>26.99899999999997</v>
      </c>
      <c r="C22">
        <v>0</v>
      </c>
      <c r="D22">
        <v>246.58199999999999</v>
      </c>
      <c r="E22">
        <v>530.80300000000011</v>
      </c>
      <c r="F22">
        <v>0</v>
      </c>
      <c r="G22">
        <v>0</v>
      </c>
      <c r="I22">
        <v>0</v>
      </c>
      <c r="J22">
        <v>0</v>
      </c>
      <c r="K22">
        <v>0</v>
      </c>
      <c r="L22">
        <v>81.396000000000001</v>
      </c>
      <c r="M22">
        <v>0</v>
      </c>
      <c r="N22">
        <v>0</v>
      </c>
      <c r="O22">
        <v>222.77500000000001</v>
      </c>
      <c r="P22">
        <v>0</v>
      </c>
      <c r="Q22">
        <v>3.7240000000000006</v>
      </c>
      <c r="R22">
        <v>3.3250000000000002</v>
      </c>
      <c r="S22">
        <v>0</v>
      </c>
      <c r="T22">
        <v>0</v>
      </c>
      <c r="U22">
        <v>0</v>
      </c>
      <c r="V22" s="3">
        <f t="shared" si="0"/>
        <v>557.80200000000013</v>
      </c>
      <c r="W22" s="3">
        <f t="shared" si="1"/>
        <v>557.80199999999991</v>
      </c>
      <c r="X22" s="3">
        <f t="shared" si="2"/>
        <v>0</v>
      </c>
    </row>
    <row r="23" spans="1:24" x14ac:dyDescent="0.15">
      <c r="A23" s="1" t="s">
        <v>151</v>
      </c>
      <c r="B23">
        <v>903.46899999999994</v>
      </c>
      <c r="C23">
        <v>418.81700000000001</v>
      </c>
      <c r="D23">
        <v>0</v>
      </c>
      <c r="E23">
        <v>94.296999999999997</v>
      </c>
      <c r="F23">
        <v>0</v>
      </c>
      <c r="G23">
        <v>0</v>
      </c>
      <c r="I23">
        <v>0</v>
      </c>
      <c r="J23">
        <v>0</v>
      </c>
      <c r="K23">
        <v>0</v>
      </c>
      <c r="L23">
        <v>16.226000000000003</v>
      </c>
      <c r="M23">
        <v>0</v>
      </c>
      <c r="N23">
        <v>7.98</v>
      </c>
      <c r="O23">
        <v>412.16699999999997</v>
      </c>
      <c r="P23">
        <v>0.66500000000000004</v>
      </c>
      <c r="Q23">
        <v>1.33</v>
      </c>
      <c r="R23">
        <v>33.382999999999996</v>
      </c>
      <c r="S23">
        <v>0.79800000000000004</v>
      </c>
      <c r="T23">
        <v>106.40000000000003</v>
      </c>
      <c r="U23">
        <v>0</v>
      </c>
      <c r="V23" s="3">
        <f t="shared" si="0"/>
        <v>997.76599999999996</v>
      </c>
      <c r="W23" s="3">
        <f t="shared" si="1"/>
        <v>997.76600000000008</v>
      </c>
      <c r="X23" s="3">
        <f t="shared" si="2"/>
        <v>0</v>
      </c>
    </row>
    <row r="24" spans="1:24" x14ac:dyDescent="0.15">
      <c r="A24" s="1" t="s">
        <v>152</v>
      </c>
      <c r="B24">
        <v>2283.7430000000004</v>
      </c>
      <c r="C24">
        <v>792.14800000000002</v>
      </c>
      <c r="D24">
        <v>0</v>
      </c>
      <c r="E24">
        <v>0</v>
      </c>
      <c r="F24">
        <v>0</v>
      </c>
      <c r="G24">
        <v>0</v>
      </c>
      <c r="I24">
        <v>0</v>
      </c>
      <c r="J24">
        <v>0</v>
      </c>
      <c r="K24">
        <v>0</v>
      </c>
      <c r="L24">
        <v>60.64800000000001</v>
      </c>
      <c r="M24">
        <v>0</v>
      </c>
      <c r="N24">
        <v>0.26600000000000001</v>
      </c>
      <c r="O24">
        <v>934.99</v>
      </c>
      <c r="P24">
        <v>40.964000000000006</v>
      </c>
      <c r="Q24">
        <v>27.530999999999999</v>
      </c>
      <c r="R24">
        <v>54.796000000000006</v>
      </c>
      <c r="S24">
        <v>1.8620000000000003</v>
      </c>
      <c r="T24">
        <v>370.53800000000018</v>
      </c>
      <c r="U24">
        <v>0</v>
      </c>
      <c r="V24" s="3">
        <f t="shared" si="0"/>
        <v>2283.7430000000004</v>
      </c>
      <c r="W24" s="3">
        <f t="shared" si="1"/>
        <v>2283.7430000000004</v>
      </c>
      <c r="X24" s="3">
        <f t="shared" si="2"/>
        <v>0</v>
      </c>
    </row>
    <row r="25" spans="1:24" x14ac:dyDescent="0.15">
      <c r="A25" s="1" t="s">
        <v>153</v>
      </c>
      <c r="B25">
        <v>0</v>
      </c>
      <c r="C25">
        <v>0</v>
      </c>
      <c r="D25">
        <v>0</v>
      </c>
      <c r="E25">
        <v>68.361999999999995</v>
      </c>
      <c r="F25">
        <v>0</v>
      </c>
      <c r="G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67.032000000000011</v>
      </c>
      <c r="P25">
        <v>0</v>
      </c>
      <c r="Q25">
        <v>0</v>
      </c>
      <c r="R25">
        <v>0</v>
      </c>
      <c r="S25">
        <v>0</v>
      </c>
      <c r="T25">
        <v>1.3299999999999954</v>
      </c>
      <c r="U25">
        <v>0</v>
      </c>
      <c r="V25" s="3">
        <f t="shared" si="0"/>
        <v>68.361999999999995</v>
      </c>
      <c r="W25" s="3">
        <f t="shared" si="1"/>
        <v>68.362000000000009</v>
      </c>
      <c r="X25" s="3">
        <f t="shared" si="2"/>
        <v>0</v>
      </c>
    </row>
    <row r="26" spans="1:24" x14ac:dyDescent="0.15">
      <c r="A26" s="1" t="s">
        <v>154</v>
      </c>
      <c r="B26">
        <v>2.6600000000000024</v>
      </c>
      <c r="C26">
        <v>2.2915900000001876E-2</v>
      </c>
      <c r="D26">
        <v>0</v>
      </c>
      <c r="E26">
        <v>70.356999999999999</v>
      </c>
      <c r="F26">
        <v>0</v>
      </c>
      <c r="G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70.334084099999998</v>
      </c>
      <c r="P26">
        <v>0</v>
      </c>
      <c r="Q26">
        <v>0</v>
      </c>
      <c r="R26">
        <v>0</v>
      </c>
      <c r="S26">
        <v>0</v>
      </c>
      <c r="T26">
        <v>2.6600000000000024</v>
      </c>
      <c r="U26">
        <v>0</v>
      </c>
      <c r="V26" s="3">
        <f t="shared" si="0"/>
        <v>73.016999999999996</v>
      </c>
      <c r="W26" s="3">
        <f t="shared" si="1"/>
        <v>73.016999999999996</v>
      </c>
      <c r="X26" s="3">
        <f t="shared" si="2"/>
        <v>0</v>
      </c>
    </row>
    <row r="27" spans="1:24" x14ac:dyDescent="0.15">
      <c r="A27" s="1" t="s">
        <v>155</v>
      </c>
      <c r="B27">
        <v>1464.33</v>
      </c>
      <c r="C27">
        <v>928.87200000000007</v>
      </c>
      <c r="D27">
        <v>0</v>
      </c>
      <c r="E27">
        <v>0</v>
      </c>
      <c r="F27">
        <v>0</v>
      </c>
      <c r="G27">
        <v>0</v>
      </c>
      <c r="I27">
        <v>0</v>
      </c>
      <c r="J27">
        <v>-14.364000000000003</v>
      </c>
      <c r="K27">
        <v>0</v>
      </c>
      <c r="L27">
        <v>28.329000000000001</v>
      </c>
      <c r="M27">
        <v>0</v>
      </c>
      <c r="N27">
        <v>0</v>
      </c>
      <c r="O27">
        <v>278.23600000000005</v>
      </c>
      <c r="P27">
        <v>0</v>
      </c>
      <c r="Q27">
        <v>0</v>
      </c>
      <c r="R27">
        <v>73.150000000000006</v>
      </c>
      <c r="S27">
        <v>0</v>
      </c>
      <c r="T27">
        <v>170.107</v>
      </c>
      <c r="U27">
        <v>0</v>
      </c>
      <c r="V27" s="3">
        <f t="shared" si="0"/>
        <v>1464.33</v>
      </c>
      <c r="W27" s="3">
        <f t="shared" si="1"/>
        <v>1464.33</v>
      </c>
      <c r="X27" s="3">
        <f t="shared" si="2"/>
        <v>0</v>
      </c>
    </row>
    <row r="28" spans="1:24" x14ac:dyDescent="0.15">
      <c r="A28" s="1" t="s">
        <v>156</v>
      </c>
      <c r="B28">
        <v>19.817000000000004</v>
      </c>
      <c r="C28">
        <v>0</v>
      </c>
      <c r="D28">
        <v>0</v>
      </c>
      <c r="E28">
        <v>152.68400000000003</v>
      </c>
      <c r="F28">
        <v>0</v>
      </c>
      <c r="G28">
        <v>0</v>
      </c>
      <c r="I28">
        <v>0</v>
      </c>
      <c r="J28">
        <v>0</v>
      </c>
      <c r="K28">
        <v>0</v>
      </c>
      <c r="L28">
        <v>8.2460000000000004</v>
      </c>
      <c r="M28">
        <v>0</v>
      </c>
      <c r="N28">
        <v>0</v>
      </c>
      <c r="O28">
        <v>135.39400000000001</v>
      </c>
      <c r="P28">
        <v>0.39900000000000002</v>
      </c>
      <c r="Q28">
        <v>9.8420000000000005</v>
      </c>
      <c r="R28">
        <v>5.9850000000000003</v>
      </c>
      <c r="S28">
        <v>3.0590000000000002</v>
      </c>
      <c r="T28">
        <v>9.5760000000000023</v>
      </c>
      <c r="U28">
        <v>0</v>
      </c>
      <c r="V28" s="3">
        <f t="shared" si="0"/>
        <v>172.50100000000003</v>
      </c>
      <c r="W28" s="3">
        <f t="shared" si="1"/>
        <v>172.50100000000003</v>
      </c>
      <c r="X28" s="3">
        <f t="shared" si="2"/>
        <v>0</v>
      </c>
    </row>
    <row r="29" spans="1:24" x14ac:dyDescent="0.15">
      <c r="A29" s="1" t="s">
        <v>157</v>
      </c>
      <c r="B29">
        <v>456.20463000000001</v>
      </c>
      <c r="C29">
        <v>187.53</v>
      </c>
      <c r="D29">
        <v>0</v>
      </c>
      <c r="E29">
        <v>0.71155000000004276</v>
      </c>
      <c r="F29">
        <v>0</v>
      </c>
      <c r="G29">
        <v>0</v>
      </c>
      <c r="I29">
        <v>0</v>
      </c>
      <c r="J29">
        <v>0</v>
      </c>
      <c r="K29">
        <v>0</v>
      </c>
      <c r="L29">
        <v>36.12679</v>
      </c>
      <c r="M29">
        <v>0</v>
      </c>
      <c r="N29">
        <v>0.13300000000000001</v>
      </c>
      <c r="O29">
        <v>54.796000000000006</v>
      </c>
      <c r="P29">
        <v>0.24339000000000002</v>
      </c>
      <c r="Q29">
        <v>5.9850000000000003</v>
      </c>
      <c r="R29">
        <v>30.058</v>
      </c>
      <c r="S29">
        <v>65.569000000000003</v>
      </c>
      <c r="T29">
        <v>76.47499999999998</v>
      </c>
      <c r="U29">
        <v>0</v>
      </c>
      <c r="V29" s="3">
        <f t="shared" si="0"/>
        <v>456.91618000000005</v>
      </c>
      <c r="W29" s="3">
        <f t="shared" si="1"/>
        <v>456.91617999999994</v>
      </c>
      <c r="X29" s="3">
        <f t="shared" si="2"/>
        <v>0</v>
      </c>
    </row>
    <row r="30" spans="1:24" x14ac:dyDescent="0.15">
      <c r="A30" s="1" t="s">
        <v>158</v>
      </c>
      <c r="B30">
        <v>0</v>
      </c>
      <c r="C30">
        <v>0</v>
      </c>
      <c r="D30">
        <v>0</v>
      </c>
      <c r="E30">
        <v>119.56700000000001</v>
      </c>
      <c r="F30">
        <v>0</v>
      </c>
      <c r="G30">
        <v>0</v>
      </c>
      <c r="I30">
        <v>0</v>
      </c>
      <c r="J30">
        <v>0</v>
      </c>
      <c r="K30">
        <v>0</v>
      </c>
      <c r="L30">
        <v>3.7240000000000006</v>
      </c>
      <c r="M30">
        <v>0</v>
      </c>
      <c r="N30">
        <v>0</v>
      </c>
      <c r="O30">
        <v>94.563000000000002</v>
      </c>
      <c r="P30">
        <v>0</v>
      </c>
      <c r="Q30">
        <v>1.33</v>
      </c>
      <c r="R30">
        <v>0</v>
      </c>
      <c r="S30">
        <v>0</v>
      </c>
      <c r="T30">
        <v>19.950000000000006</v>
      </c>
      <c r="U30">
        <v>0</v>
      </c>
      <c r="V30" s="3">
        <f t="shared" si="0"/>
        <v>119.56700000000001</v>
      </c>
      <c r="W30" s="3">
        <f t="shared" si="1"/>
        <v>119.56700000000001</v>
      </c>
      <c r="X30" s="3">
        <f t="shared" si="2"/>
        <v>0</v>
      </c>
    </row>
    <row r="31" spans="1:24" x14ac:dyDescent="0.15">
      <c r="A31" s="1" t="s">
        <v>159</v>
      </c>
      <c r="B31">
        <v>2797.3890000000001</v>
      </c>
      <c r="C31">
        <v>1868.9160000000002</v>
      </c>
      <c r="D31">
        <v>0</v>
      </c>
      <c r="E31">
        <v>0</v>
      </c>
      <c r="F31">
        <v>0</v>
      </c>
      <c r="G31">
        <v>0</v>
      </c>
      <c r="I31">
        <v>0</v>
      </c>
      <c r="J31">
        <v>0</v>
      </c>
      <c r="K31">
        <v>0</v>
      </c>
      <c r="L31">
        <v>189.39200000000002</v>
      </c>
      <c r="M31">
        <v>0</v>
      </c>
      <c r="N31">
        <v>0</v>
      </c>
      <c r="O31">
        <v>640.12900000000002</v>
      </c>
      <c r="P31">
        <v>0</v>
      </c>
      <c r="Q31">
        <v>41.230000000000004</v>
      </c>
      <c r="R31">
        <v>14.896000000000003</v>
      </c>
      <c r="S31">
        <v>6.9160000000000004</v>
      </c>
      <c r="T31">
        <v>35.909999999999975</v>
      </c>
      <c r="U31">
        <v>0</v>
      </c>
      <c r="V31" s="3">
        <f t="shared" si="0"/>
        <v>2797.3890000000001</v>
      </c>
      <c r="W31" s="3">
        <f t="shared" si="1"/>
        <v>2797.3890000000001</v>
      </c>
      <c r="X31" s="3">
        <f t="shared" si="2"/>
        <v>0</v>
      </c>
    </row>
    <row r="32" spans="1:24" x14ac:dyDescent="0.15">
      <c r="B32" s="3">
        <f>SUM(B2:B31)</f>
        <v>10871.296310000002</v>
      </c>
      <c r="C32" s="3">
        <f t="shared" ref="C32:U32" si="3">SUM(C2:C31)</f>
        <v>5874.1892306624304</v>
      </c>
      <c r="D32" s="3">
        <f t="shared" si="3"/>
        <v>345.66700000000003</v>
      </c>
      <c r="E32" s="3">
        <f t="shared" si="3"/>
        <v>4291.8912860942555</v>
      </c>
      <c r="F32" s="3">
        <f t="shared" si="3"/>
        <v>534.66000000000008</v>
      </c>
      <c r="G32" s="3">
        <f t="shared" si="3"/>
        <v>0</v>
      </c>
      <c r="H32" s="3">
        <f t="shared" si="3"/>
        <v>0</v>
      </c>
      <c r="I32" s="3">
        <f t="shared" si="3"/>
        <v>0</v>
      </c>
      <c r="J32" s="3">
        <f t="shared" si="3"/>
        <v>-14.364000000000003</v>
      </c>
      <c r="K32" s="3">
        <f t="shared" si="3"/>
        <v>-51.205000000000005</v>
      </c>
      <c r="L32" s="3">
        <f t="shared" si="3"/>
        <v>1742.7831092000001</v>
      </c>
      <c r="M32" s="3">
        <f t="shared" si="3"/>
        <v>0</v>
      </c>
      <c r="N32" s="3">
        <f t="shared" si="3"/>
        <v>8.9110000000000014</v>
      </c>
      <c r="O32" s="3">
        <f t="shared" si="3"/>
        <v>5303.3498062318267</v>
      </c>
      <c r="P32" s="3">
        <f t="shared" si="3"/>
        <v>47.458390000000001</v>
      </c>
      <c r="Q32" s="3">
        <f t="shared" si="3"/>
        <v>151.75034000000002</v>
      </c>
      <c r="R32" s="3">
        <f t="shared" si="3"/>
        <v>395.77608000000004</v>
      </c>
      <c r="S32" s="3">
        <f t="shared" si="3"/>
        <v>300.50020000000001</v>
      </c>
      <c r="T32" s="3">
        <f t="shared" si="3"/>
        <v>1482.7744400000001</v>
      </c>
      <c r="U32" s="3">
        <f t="shared" si="3"/>
        <v>7.8470000000000004</v>
      </c>
    </row>
    <row r="33" spans="1:1" x14ac:dyDescent="0.15">
      <c r="A33" s="1" t="s">
        <v>11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3"/>
  <sheetViews>
    <sheetView zoomScale="70" zoomScaleNormal="70" workbookViewId="0">
      <selection activeCell="A2" sqref="A2:A31"/>
    </sheetView>
  </sheetViews>
  <sheetFormatPr defaultRowHeight="13.5" x14ac:dyDescent="0.15"/>
  <sheetData>
    <row r="1" spans="1:24" x14ac:dyDescent="0.15">
      <c r="B1" s="19" t="s">
        <v>0</v>
      </c>
      <c r="C1" t="s">
        <v>1</v>
      </c>
      <c r="D1" t="s">
        <v>2</v>
      </c>
      <c r="E1" t="s">
        <v>4</v>
      </c>
      <c r="F1" t="s">
        <v>3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s="19" t="s">
        <v>128</v>
      </c>
      <c r="M1" t="s">
        <v>129</v>
      </c>
      <c r="N1" t="s">
        <v>5</v>
      </c>
      <c r="O1" t="s">
        <v>6</v>
      </c>
      <c r="P1" t="s">
        <v>7</v>
      </c>
      <c r="Q1" t="s">
        <v>122</v>
      </c>
      <c r="R1" t="s">
        <v>10</v>
      </c>
      <c r="S1" t="s">
        <v>8</v>
      </c>
      <c r="T1" t="s">
        <v>9</v>
      </c>
      <c r="U1" t="s">
        <v>118</v>
      </c>
    </row>
    <row r="2" spans="1:24" x14ac:dyDescent="0.15">
      <c r="A2" s="1" t="s">
        <v>160</v>
      </c>
      <c r="B2" s="3">
        <v>8.8437169999999838</v>
      </c>
      <c r="C2">
        <v>0.30725000000000002</v>
      </c>
      <c r="D2">
        <v>0</v>
      </c>
      <c r="E2">
        <v>555.47215100000017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652.12978699999996</v>
      </c>
      <c r="M2">
        <v>0</v>
      </c>
      <c r="N2">
        <v>16.419440000000002</v>
      </c>
      <c r="O2">
        <v>470.90157399999998</v>
      </c>
      <c r="P2">
        <v>23.344423000000003</v>
      </c>
      <c r="Q2">
        <v>60.131584000000004</v>
      </c>
      <c r="R2">
        <v>110.812298</v>
      </c>
      <c r="S2">
        <v>330.877072</v>
      </c>
      <c r="T2">
        <v>203.65201400000007</v>
      </c>
      <c r="U2">
        <v>0</v>
      </c>
      <c r="V2" s="3">
        <f>B2+L2+E2+F2</f>
        <v>1216.445655</v>
      </c>
      <c r="W2" s="3">
        <f>C2+D2+SUM(G2:U2)-L2</f>
        <v>1216.445655</v>
      </c>
      <c r="X2" s="3">
        <f>V2-W2</f>
        <v>0</v>
      </c>
    </row>
    <row r="3" spans="1:24" x14ac:dyDescent="0.15">
      <c r="A3" s="1" t="s">
        <v>161</v>
      </c>
      <c r="B3">
        <v>0</v>
      </c>
      <c r="C3">
        <v>1.1675500000000001</v>
      </c>
      <c r="D3">
        <v>0</v>
      </c>
      <c r="E3">
        <v>133.36151800000002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861.43153299999994</v>
      </c>
      <c r="M3">
        <v>0</v>
      </c>
      <c r="N3">
        <v>13.85083</v>
      </c>
      <c r="O3">
        <v>628.54414199999997</v>
      </c>
      <c r="P3">
        <v>8.2046900000000011</v>
      </c>
      <c r="Q3">
        <v>14.910357000000001</v>
      </c>
      <c r="R3">
        <v>51.425912000000004</v>
      </c>
      <c r="S3">
        <v>45.356870000000001</v>
      </c>
      <c r="T3">
        <v>231.33269999999993</v>
      </c>
      <c r="U3">
        <v>0</v>
      </c>
      <c r="V3" s="3">
        <f t="shared" ref="V3:V31" si="0">B3+L3+E3+F3</f>
        <v>994.79305099999999</v>
      </c>
      <c r="W3" s="3">
        <f t="shared" ref="W3:W31" si="1">C3+D3+SUM(G3:U3)-L3</f>
        <v>994.79305099999988</v>
      </c>
      <c r="X3" s="3">
        <f t="shared" ref="X3:X31" si="2">V3-W3</f>
        <v>0</v>
      </c>
    </row>
    <row r="4" spans="1:24" x14ac:dyDescent="0.15">
      <c r="A4" s="1" t="s">
        <v>162</v>
      </c>
      <c r="B4">
        <v>13.584184999999996</v>
      </c>
      <c r="C4">
        <v>94.046094999999994</v>
      </c>
      <c r="D4">
        <v>0</v>
      </c>
      <c r="E4">
        <v>460.82585063814179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2466.1937900000003</v>
      </c>
      <c r="M4">
        <v>0</v>
      </c>
      <c r="N4">
        <v>176.34921000000003</v>
      </c>
      <c r="O4">
        <v>2099.6240384381422</v>
      </c>
      <c r="P4">
        <v>15.823692000000001</v>
      </c>
      <c r="Q4">
        <v>55.133595600000007</v>
      </c>
      <c r="R4">
        <v>43.256884400000004</v>
      </c>
      <c r="S4">
        <v>87.553995</v>
      </c>
      <c r="T4">
        <v>368.81631519999974</v>
      </c>
      <c r="U4">
        <v>0</v>
      </c>
      <c r="V4" s="3">
        <f t="shared" si="0"/>
        <v>2940.6038256381421</v>
      </c>
      <c r="W4" s="3">
        <f t="shared" si="1"/>
        <v>2940.6038256381416</v>
      </c>
      <c r="X4" s="3">
        <f t="shared" si="2"/>
        <v>0</v>
      </c>
    </row>
    <row r="5" spans="1:24" x14ac:dyDescent="0.15">
      <c r="A5" s="1" t="s">
        <v>163</v>
      </c>
      <c r="B5">
        <v>31.646750000000001</v>
      </c>
      <c r="C5">
        <v>568.48624000000007</v>
      </c>
      <c r="D5">
        <v>0</v>
      </c>
      <c r="E5">
        <v>62.506940000000007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2344.033778</v>
      </c>
      <c r="M5">
        <v>0</v>
      </c>
      <c r="N5">
        <v>34.879020000000004</v>
      </c>
      <c r="O5">
        <v>1520.3444770000001</v>
      </c>
      <c r="P5">
        <v>10.004060000000001</v>
      </c>
      <c r="Q5">
        <v>50.401290000000003</v>
      </c>
      <c r="R5">
        <v>18.680800000000001</v>
      </c>
      <c r="S5">
        <v>42.818360000000006</v>
      </c>
      <c r="T5">
        <v>192.57322100000005</v>
      </c>
      <c r="U5">
        <v>0</v>
      </c>
      <c r="V5" s="3">
        <f t="shared" si="0"/>
        <v>2438.1874680000001</v>
      </c>
      <c r="W5" s="3">
        <f t="shared" si="1"/>
        <v>2438.1874680000001</v>
      </c>
      <c r="X5" s="3">
        <f t="shared" si="2"/>
        <v>0</v>
      </c>
    </row>
    <row r="6" spans="1:24" x14ac:dyDescent="0.15">
      <c r="A6" s="1" t="s">
        <v>164</v>
      </c>
      <c r="B6">
        <v>67.746289900000036</v>
      </c>
      <c r="C6">
        <v>843.01913989009984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2714.2574999150997</v>
      </c>
      <c r="M6">
        <v>0</v>
      </c>
      <c r="N6">
        <v>43.748989400000006</v>
      </c>
      <c r="O6">
        <v>1422.7898626550002</v>
      </c>
      <c r="P6">
        <v>9.817763900000001</v>
      </c>
      <c r="Q6">
        <v>41.44985887</v>
      </c>
      <c r="R6">
        <v>49.956638499999997</v>
      </c>
      <c r="S6">
        <v>50.733673700000004</v>
      </c>
      <c r="T6">
        <v>320.48786289999998</v>
      </c>
      <c r="U6">
        <v>0</v>
      </c>
      <c r="V6" s="3">
        <f t="shared" si="0"/>
        <v>2782.0037898150999</v>
      </c>
      <c r="W6" s="3">
        <f t="shared" si="1"/>
        <v>2782.0037898150981</v>
      </c>
      <c r="X6" s="3">
        <f t="shared" si="2"/>
        <v>0</v>
      </c>
    </row>
    <row r="7" spans="1:24" x14ac:dyDescent="0.15">
      <c r="A7" s="2" t="s">
        <v>165</v>
      </c>
      <c r="B7">
        <v>58.426659999999991</v>
      </c>
      <c r="C7">
        <v>26.521819999999998</v>
      </c>
      <c r="D7">
        <v>0</v>
      </c>
      <c r="E7">
        <v>329.22452000000004</v>
      </c>
      <c r="F7">
        <v>0.51617999999999997</v>
      </c>
      <c r="G7">
        <v>0</v>
      </c>
      <c r="H7">
        <v>0</v>
      </c>
      <c r="I7">
        <v>0</v>
      </c>
      <c r="J7">
        <v>0</v>
      </c>
      <c r="K7">
        <v>0</v>
      </c>
      <c r="L7">
        <v>2503.6987239999999</v>
      </c>
      <c r="M7">
        <v>0</v>
      </c>
      <c r="N7">
        <v>30.712710000000001</v>
      </c>
      <c r="O7">
        <v>1769.1535450000001</v>
      </c>
      <c r="P7">
        <v>16.214337</v>
      </c>
      <c r="Q7">
        <v>37.759118000000001</v>
      </c>
      <c r="R7">
        <v>49.454557000000001</v>
      </c>
      <c r="S7">
        <v>146.109633</v>
      </c>
      <c r="T7">
        <v>815.94036400000005</v>
      </c>
      <c r="U7">
        <v>0</v>
      </c>
      <c r="V7" s="3">
        <f t="shared" si="0"/>
        <v>2891.8660840000002</v>
      </c>
      <c r="W7" s="3">
        <f t="shared" si="1"/>
        <v>2891.8660840000002</v>
      </c>
      <c r="X7" s="3">
        <f t="shared" si="2"/>
        <v>0</v>
      </c>
    </row>
    <row r="8" spans="1:24" x14ac:dyDescent="0.15">
      <c r="A8" s="1" t="s">
        <v>166</v>
      </c>
      <c r="B8">
        <v>90.071918000000011</v>
      </c>
      <c r="C8">
        <v>47.181310000000003</v>
      </c>
      <c r="D8">
        <v>0</v>
      </c>
      <c r="E8">
        <v>3.4099999994541573E-4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1050.6119610000001</v>
      </c>
      <c r="M8">
        <v>0</v>
      </c>
      <c r="N8">
        <v>10.716880000000002</v>
      </c>
      <c r="O8">
        <v>781.7273090000001</v>
      </c>
      <c r="P8">
        <v>5.7404640000000002</v>
      </c>
      <c r="Q8">
        <v>26.571326000000003</v>
      </c>
      <c r="R8">
        <v>20.848753000000002</v>
      </c>
      <c r="S8">
        <v>48.736486999999997</v>
      </c>
      <c r="T8">
        <v>199.16169099999991</v>
      </c>
      <c r="U8">
        <v>0</v>
      </c>
      <c r="V8" s="3">
        <f t="shared" si="0"/>
        <v>1140.6842200000001</v>
      </c>
      <c r="W8" s="3">
        <f t="shared" si="1"/>
        <v>1140.6842199999996</v>
      </c>
      <c r="X8" s="3">
        <f t="shared" si="2"/>
        <v>0</v>
      </c>
    </row>
    <row r="9" spans="1:24" x14ac:dyDescent="0.15">
      <c r="A9" s="1" t="s">
        <v>167</v>
      </c>
      <c r="B9">
        <v>17.21829</v>
      </c>
      <c r="C9">
        <v>169.22101000000001</v>
      </c>
      <c r="D9">
        <v>4.9160000000000002E-2</v>
      </c>
      <c r="E9">
        <v>0.55305000000000004</v>
      </c>
      <c r="F9">
        <v>82.220100000000016</v>
      </c>
      <c r="G9">
        <v>0</v>
      </c>
      <c r="H9">
        <v>0</v>
      </c>
      <c r="I9">
        <v>0</v>
      </c>
      <c r="J9">
        <v>0</v>
      </c>
      <c r="K9">
        <v>0</v>
      </c>
      <c r="L9">
        <v>1324.172765</v>
      </c>
      <c r="M9">
        <v>0</v>
      </c>
      <c r="N9">
        <v>19.88522</v>
      </c>
      <c r="O9">
        <v>702.47157100000004</v>
      </c>
      <c r="P9">
        <v>4.4735600000000009</v>
      </c>
      <c r="Q9">
        <v>10.815200000000001</v>
      </c>
      <c r="R9">
        <v>18.484159999999999</v>
      </c>
      <c r="S9">
        <v>46.026050000000005</v>
      </c>
      <c r="T9">
        <v>452.73827400000016</v>
      </c>
      <c r="U9">
        <v>0</v>
      </c>
      <c r="V9" s="3">
        <f t="shared" si="0"/>
        <v>1424.164205</v>
      </c>
      <c r="W9" s="3">
        <f t="shared" si="1"/>
        <v>1424.1642050000003</v>
      </c>
      <c r="X9" s="3">
        <f t="shared" si="2"/>
        <v>0</v>
      </c>
    </row>
    <row r="10" spans="1:24" x14ac:dyDescent="0.15">
      <c r="A10" s="1" t="s">
        <v>168</v>
      </c>
      <c r="B10">
        <v>19.141999999999978</v>
      </c>
      <c r="C10">
        <v>19.946670000000001</v>
      </c>
      <c r="D10">
        <v>0</v>
      </c>
      <c r="E10">
        <v>426.18372600000004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1044.8068069999999</v>
      </c>
      <c r="M10">
        <v>0</v>
      </c>
      <c r="N10">
        <v>6.4768299999999996</v>
      </c>
      <c r="O10">
        <v>1013.0052500000002</v>
      </c>
      <c r="P10">
        <v>23.123596000000003</v>
      </c>
      <c r="Q10">
        <v>24.856005</v>
      </c>
      <c r="R10">
        <v>78.755261000000019</v>
      </c>
      <c r="S10">
        <v>162.26149600000002</v>
      </c>
      <c r="T10">
        <v>161.70742499999989</v>
      </c>
      <c r="U10">
        <v>0</v>
      </c>
      <c r="V10" s="3">
        <f t="shared" si="0"/>
        <v>1490.132533</v>
      </c>
      <c r="W10" s="3">
        <f t="shared" si="1"/>
        <v>1490.132533</v>
      </c>
      <c r="X10" s="3">
        <f t="shared" si="2"/>
        <v>0</v>
      </c>
    </row>
    <row r="11" spans="1:24" x14ac:dyDescent="0.15">
      <c r="A11" s="1" t="s">
        <v>169</v>
      </c>
      <c r="B11">
        <v>131.12201000000002</v>
      </c>
      <c r="C11">
        <v>238.25394000000003</v>
      </c>
      <c r="D11">
        <v>0</v>
      </c>
      <c r="E11">
        <v>393.95595000000003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3902.3453410000002</v>
      </c>
      <c r="M11">
        <v>0</v>
      </c>
      <c r="N11">
        <v>30.073630000000001</v>
      </c>
      <c r="O11">
        <v>3521.2573010000001</v>
      </c>
      <c r="P11">
        <v>28.93066</v>
      </c>
      <c r="Q11">
        <v>23.965500000000002</v>
      </c>
      <c r="R11">
        <v>90.294630000000012</v>
      </c>
      <c r="S11">
        <v>172.18290000000002</v>
      </c>
      <c r="T11">
        <v>322.46474000000035</v>
      </c>
      <c r="U11">
        <v>0</v>
      </c>
      <c r="V11" s="3">
        <f t="shared" si="0"/>
        <v>4427.4233010000007</v>
      </c>
      <c r="W11" s="3">
        <f t="shared" si="1"/>
        <v>4427.4233010000007</v>
      </c>
      <c r="X11" s="3">
        <f t="shared" si="2"/>
        <v>0</v>
      </c>
    </row>
    <row r="12" spans="1:24" x14ac:dyDescent="0.15">
      <c r="A12" s="1" t="s">
        <v>170</v>
      </c>
      <c r="B12">
        <v>477.86727119000005</v>
      </c>
      <c r="C12">
        <v>76.016060870000146</v>
      </c>
      <c r="D12">
        <v>0</v>
      </c>
      <c r="E12">
        <v>209.87338040000077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3117.0650000900005</v>
      </c>
      <c r="M12">
        <v>0</v>
      </c>
      <c r="N12">
        <v>19.223034800000001</v>
      </c>
      <c r="O12">
        <v>2950.37621468</v>
      </c>
      <c r="P12">
        <v>29.011282400000002</v>
      </c>
      <c r="Q12">
        <v>20.573672030000004</v>
      </c>
      <c r="R12">
        <v>248.81184380000002</v>
      </c>
      <c r="S12">
        <v>179.33324780000001</v>
      </c>
      <c r="T12">
        <v>281.46029530000033</v>
      </c>
      <c r="U12">
        <v>0</v>
      </c>
      <c r="V12" s="3">
        <f t="shared" si="0"/>
        <v>3804.8056516800011</v>
      </c>
      <c r="W12" s="3">
        <f t="shared" si="1"/>
        <v>3804.8056516799998</v>
      </c>
      <c r="X12" s="3">
        <f t="shared" si="2"/>
        <v>0</v>
      </c>
    </row>
    <row r="13" spans="1:24" x14ac:dyDescent="0.15">
      <c r="A13" s="1" t="s">
        <v>171</v>
      </c>
      <c r="B13">
        <v>18.017139999999998</v>
      </c>
      <c r="C13">
        <v>130.96053939930246</v>
      </c>
      <c r="D13">
        <v>0</v>
      </c>
      <c r="E13">
        <v>8.8365100000000005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1217.3707391299001</v>
      </c>
      <c r="M13">
        <v>0</v>
      </c>
      <c r="N13">
        <v>14.758815200000003</v>
      </c>
      <c r="O13">
        <v>835.87660823059775</v>
      </c>
      <c r="P13">
        <v>9.5532628000000006</v>
      </c>
      <c r="Q13">
        <v>10.995125600000001</v>
      </c>
      <c r="R13">
        <v>23.679265900000001</v>
      </c>
      <c r="S13">
        <v>42.417460200000008</v>
      </c>
      <c r="T13">
        <v>175.98331179999991</v>
      </c>
      <c r="U13">
        <v>0</v>
      </c>
      <c r="V13" s="3">
        <f t="shared" si="0"/>
        <v>1244.2243891299001</v>
      </c>
      <c r="W13" s="3">
        <f t="shared" si="1"/>
        <v>1244.2243891298997</v>
      </c>
      <c r="X13" s="3">
        <f t="shared" si="2"/>
        <v>0</v>
      </c>
    </row>
    <row r="14" spans="1:24" x14ac:dyDescent="0.15">
      <c r="A14" s="1" t="s">
        <v>172</v>
      </c>
      <c r="B14">
        <v>404.11873300000002</v>
      </c>
      <c r="C14">
        <v>49.811370000000004</v>
      </c>
      <c r="D14">
        <v>0</v>
      </c>
      <c r="E14">
        <v>1.9418200000000003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918.79871400000002</v>
      </c>
      <c r="M14">
        <v>0</v>
      </c>
      <c r="N14">
        <v>13.101140000000001</v>
      </c>
      <c r="O14">
        <v>916.020127</v>
      </c>
      <c r="P14">
        <v>17.119970000000002</v>
      </c>
      <c r="Q14">
        <v>15.841810000000002</v>
      </c>
      <c r="R14">
        <v>39.278840000000002</v>
      </c>
      <c r="S14">
        <v>73.260690000000011</v>
      </c>
      <c r="T14">
        <v>200.42532000000006</v>
      </c>
      <c r="U14">
        <v>0</v>
      </c>
      <c r="V14" s="3">
        <f t="shared" si="0"/>
        <v>1324.859267</v>
      </c>
      <c r="W14" s="3">
        <f t="shared" si="1"/>
        <v>1324.8592669999998</v>
      </c>
      <c r="X14" s="3">
        <f t="shared" si="2"/>
        <v>0</v>
      </c>
    </row>
    <row r="15" spans="1:24" x14ac:dyDescent="0.15">
      <c r="A15" s="1" t="s">
        <v>173</v>
      </c>
      <c r="B15">
        <v>95.739100000000008</v>
      </c>
      <c r="C15">
        <v>5.6411100000000003</v>
      </c>
      <c r="D15">
        <v>0</v>
      </c>
      <c r="E15">
        <v>26.337470000000003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534.30929800000013</v>
      </c>
      <c r="M15">
        <v>0</v>
      </c>
      <c r="N15">
        <v>26.226860000000002</v>
      </c>
      <c r="O15">
        <v>461.85974800000008</v>
      </c>
      <c r="P15">
        <v>4.8914200000000001</v>
      </c>
      <c r="Q15">
        <v>9.3895599999999995</v>
      </c>
      <c r="R15">
        <v>16.57921</v>
      </c>
      <c r="S15">
        <v>29.459130000000002</v>
      </c>
      <c r="T15">
        <v>102.33883000000006</v>
      </c>
      <c r="U15">
        <v>0</v>
      </c>
      <c r="V15" s="3">
        <f t="shared" si="0"/>
        <v>656.38586800000019</v>
      </c>
      <c r="W15" s="3">
        <f t="shared" si="1"/>
        <v>656.3858680000003</v>
      </c>
      <c r="X15" s="3">
        <f t="shared" si="2"/>
        <v>0</v>
      </c>
    </row>
    <row r="16" spans="1:24" x14ac:dyDescent="0.15">
      <c r="A16" s="1" t="s">
        <v>174</v>
      </c>
      <c r="B16">
        <v>23.465969999999999</v>
      </c>
      <c r="C16">
        <v>12.695868869099751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5155.3105567920002</v>
      </c>
      <c r="M16">
        <v>0</v>
      </c>
      <c r="N16">
        <v>86.731203499999992</v>
      </c>
      <c r="O16">
        <v>4159.3907872229001</v>
      </c>
      <c r="P16">
        <v>38.571764700000003</v>
      </c>
      <c r="Q16">
        <v>40.925779500000004</v>
      </c>
      <c r="R16">
        <v>129.49971780000001</v>
      </c>
      <c r="S16">
        <v>166.52437770000003</v>
      </c>
      <c r="T16">
        <v>544.43702750000034</v>
      </c>
      <c r="U16">
        <v>0</v>
      </c>
      <c r="V16" s="3">
        <f t="shared" si="0"/>
        <v>5178.7765267920004</v>
      </c>
      <c r="W16" s="3">
        <f t="shared" si="1"/>
        <v>5178.7765267919995</v>
      </c>
      <c r="X16" s="3">
        <f t="shared" si="2"/>
        <v>0</v>
      </c>
    </row>
    <row r="17" spans="1:24" x14ac:dyDescent="0.15">
      <c r="A17" s="1" t="s">
        <v>175</v>
      </c>
      <c r="B17">
        <v>105.06735999999999</v>
      </c>
      <c r="C17">
        <v>109.42112600000006</v>
      </c>
      <c r="D17">
        <v>0</v>
      </c>
      <c r="E17">
        <v>51.72861000000001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2553.1531399999999</v>
      </c>
      <c r="M17">
        <v>0</v>
      </c>
      <c r="N17">
        <v>91.550718000000003</v>
      </c>
      <c r="O17">
        <v>2046.6347490000003</v>
      </c>
      <c r="P17">
        <v>10.14842</v>
      </c>
      <c r="Q17">
        <v>45.213229000000005</v>
      </c>
      <c r="R17">
        <v>46.688042000000003</v>
      </c>
      <c r="S17">
        <v>81.082800000000006</v>
      </c>
      <c r="T17">
        <v>279.21002600000003</v>
      </c>
      <c r="U17">
        <v>0</v>
      </c>
      <c r="V17" s="3">
        <f t="shared" si="0"/>
        <v>2709.94911</v>
      </c>
      <c r="W17" s="3">
        <f t="shared" si="1"/>
        <v>2709.94911</v>
      </c>
      <c r="X17" s="3">
        <f t="shared" si="2"/>
        <v>0</v>
      </c>
    </row>
    <row r="18" spans="1:24" x14ac:dyDescent="0.15">
      <c r="A18" s="1" t="s">
        <v>176</v>
      </c>
      <c r="B18">
        <v>1118.5251900000001</v>
      </c>
      <c r="C18">
        <v>820.16086000000007</v>
      </c>
      <c r="D18">
        <v>0</v>
      </c>
      <c r="E18">
        <v>141.62996000000001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1074.547139</v>
      </c>
      <c r="M18">
        <v>0</v>
      </c>
      <c r="N18">
        <v>46.591389999999997</v>
      </c>
      <c r="O18">
        <v>1169.2538790000001</v>
      </c>
      <c r="P18">
        <v>10.741460000000002</v>
      </c>
      <c r="Q18">
        <v>14.66197</v>
      </c>
      <c r="R18">
        <v>45.718800000000009</v>
      </c>
      <c r="S18">
        <v>54.481570000000005</v>
      </c>
      <c r="T18">
        <v>173.09236000000013</v>
      </c>
      <c r="U18">
        <v>0</v>
      </c>
      <c r="V18" s="3">
        <f t="shared" si="0"/>
        <v>2334.7022890000003</v>
      </c>
      <c r="W18" s="3">
        <f t="shared" si="1"/>
        <v>2334.7022890000007</v>
      </c>
      <c r="X18" s="3">
        <f t="shared" si="2"/>
        <v>0</v>
      </c>
    </row>
    <row r="19" spans="1:24" x14ac:dyDescent="0.15">
      <c r="A19" s="1" t="s">
        <v>177</v>
      </c>
      <c r="B19">
        <v>422.53504700000002</v>
      </c>
      <c r="C19">
        <v>108.39780000000002</v>
      </c>
      <c r="D19">
        <v>0</v>
      </c>
      <c r="E19">
        <v>161.23251000000002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720.18881599999997</v>
      </c>
      <c r="M19">
        <v>0</v>
      </c>
      <c r="N19">
        <v>89.397459999999995</v>
      </c>
      <c r="O19">
        <v>792.53260299999999</v>
      </c>
      <c r="P19">
        <v>8.7259000000000011</v>
      </c>
      <c r="Q19">
        <v>29.766380000000002</v>
      </c>
      <c r="R19">
        <v>23.76886</v>
      </c>
      <c r="S19">
        <v>51.962120000000006</v>
      </c>
      <c r="T19">
        <v>199.40525000000002</v>
      </c>
      <c r="U19">
        <v>0</v>
      </c>
      <c r="V19" s="3">
        <f t="shared" si="0"/>
        <v>1303.956373</v>
      </c>
      <c r="W19" s="3">
        <f t="shared" si="1"/>
        <v>1303.956373</v>
      </c>
      <c r="X19" s="3">
        <f t="shared" si="2"/>
        <v>0</v>
      </c>
    </row>
    <row r="20" spans="1:24" x14ac:dyDescent="0.15">
      <c r="A20" s="1" t="s">
        <v>178</v>
      </c>
      <c r="B20">
        <v>539.85053999999991</v>
      </c>
      <c r="C20">
        <v>5.1495552028708742</v>
      </c>
      <c r="D20">
        <v>145.46444</v>
      </c>
      <c r="E20">
        <v>964.18736999999999</v>
      </c>
      <c r="F20">
        <v>49.590150000000008</v>
      </c>
      <c r="G20">
        <v>0</v>
      </c>
      <c r="H20">
        <v>0</v>
      </c>
      <c r="I20">
        <v>0</v>
      </c>
      <c r="J20">
        <v>0</v>
      </c>
      <c r="K20">
        <v>0</v>
      </c>
      <c r="L20">
        <v>2685.6750370000004</v>
      </c>
      <c r="M20">
        <v>0</v>
      </c>
      <c r="N20">
        <v>90.835390000000004</v>
      </c>
      <c r="O20">
        <v>2823.6548217971299</v>
      </c>
      <c r="P20">
        <v>53.043639999999996</v>
      </c>
      <c r="Q20">
        <v>45.767960000000009</v>
      </c>
      <c r="R20">
        <v>231.02742000000001</v>
      </c>
      <c r="S20">
        <v>337.27447000000001</v>
      </c>
      <c r="T20">
        <v>507.08539999999988</v>
      </c>
      <c r="U20">
        <v>0</v>
      </c>
      <c r="V20" s="3">
        <f t="shared" si="0"/>
        <v>4239.303097</v>
      </c>
      <c r="W20" s="3">
        <f t="shared" si="1"/>
        <v>4239.3030970000018</v>
      </c>
      <c r="X20" s="3">
        <f t="shared" si="2"/>
        <v>0</v>
      </c>
    </row>
    <row r="21" spans="1:24" x14ac:dyDescent="0.15">
      <c r="A21" s="1" t="s">
        <v>179</v>
      </c>
      <c r="B21">
        <v>398.76341950000005</v>
      </c>
      <c r="C21">
        <v>82.58929160000001</v>
      </c>
      <c r="D21">
        <v>0</v>
      </c>
      <c r="E21">
        <v>78.183203700000121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479.82819080000002</v>
      </c>
      <c r="M21">
        <v>0</v>
      </c>
      <c r="N21">
        <v>21.579519399999999</v>
      </c>
      <c r="O21">
        <v>668.56571100000008</v>
      </c>
      <c r="P21">
        <v>5.6714663000000005</v>
      </c>
      <c r="Q21">
        <v>8.7872271000000008</v>
      </c>
      <c r="R21">
        <v>19.585221100000002</v>
      </c>
      <c r="S21">
        <v>35.693232500000001</v>
      </c>
      <c r="T21">
        <v>114.30314500000006</v>
      </c>
      <c r="U21">
        <v>0</v>
      </c>
      <c r="V21" s="3">
        <f t="shared" si="0"/>
        <v>956.77481400000022</v>
      </c>
      <c r="W21" s="3">
        <f t="shared" si="1"/>
        <v>956.77481400000022</v>
      </c>
      <c r="X21" s="3">
        <f t="shared" si="2"/>
        <v>0</v>
      </c>
    </row>
    <row r="22" spans="1:24" x14ac:dyDescent="0.15">
      <c r="A22" s="1" t="s">
        <v>180</v>
      </c>
      <c r="B22">
        <v>16.087610000000002</v>
      </c>
      <c r="C22">
        <v>1.9436999999999767E-2</v>
      </c>
      <c r="D22">
        <v>0</v>
      </c>
      <c r="E22">
        <v>2.3105199999999946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120.02355700000001</v>
      </c>
      <c r="M22">
        <v>0</v>
      </c>
      <c r="N22">
        <v>7.3002600000000006</v>
      </c>
      <c r="O22">
        <v>79.864980000000003</v>
      </c>
      <c r="P22">
        <v>1.1183900000000002</v>
      </c>
      <c r="Q22">
        <v>1.8803700000000001</v>
      </c>
      <c r="R22">
        <v>9.8197100000000006</v>
      </c>
      <c r="S22">
        <v>20.991319999999998</v>
      </c>
      <c r="T22">
        <v>17.427220000000009</v>
      </c>
      <c r="U22">
        <v>0</v>
      </c>
      <c r="V22" s="3">
        <f t="shared" si="0"/>
        <v>138.42168700000002</v>
      </c>
      <c r="W22" s="3">
        <f t="shared" si="1"/>
        <v>138.42168699999999</v>
      </c>
      <c r="X22" s="3">
        <f t="shared" si="2"/>
        <v>0</v>
      </c>
    </row>
    <row r="23" spans="1:24" x14ac:dyDescent="0.15">
      <c r="A23" s="1" t="s">
        <v>181</v>
      </c>
      <c r="B23">
        <v>75.165639999999996</v>
      </c>
      <c r="C23">
        <v>63.7851</v>
      </c>
      <c r="D23">
        <v>0</v>
      </c>
      <c r="E23">
        <v>179.59377000000001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388.05499000000003</v>
      </c>
      <c r="M23">
        <v>0</v>
      </c>
      <c r="N23">
        <v>2.5071600000000003</v>
      </c>
      <c r="O23">
        <v>399.21431000000001</v>
      </c>
      <c r="P23">
        <v>14.231820000000001</v>
      </c>
      <c r="Q23">
        <v>9.8320000000000007</v>
      </c>
      <c r="R23">
        <v>24.936410000000002</v>
      </c>
      <c r="S23">
        <v>36.144890000000004</v>
      </c>
      <c r="T23">
        <v>92.16270999999999</v>
      </c>
      <c r="U23">
        <v>0</v>
      </c>
      <c r="V23" s="3">
        <f t="shared" si="0"/>
        <v>642.81439999999998</v>
      </c>
      <c r="W23" s="3">
        <f t="shared" si="1"/>
        <v>642.81439999999998</v>
      </c>
      <c r="X23" s="3">
        <f t="shared" si="2"/>
        <v>0</v>
      </c>
    </row>
    <row r="24" spans="1:24" x14ac:dyDescent="0.15">
      <c r="A24" s="1" t="s">
        <v>182</v>
      </c>
      <c r="B24">
        <v>952.95431000000019</v>
      </c>
      <c r="C24">
        <v>104.29294</v>
      </c>
      <c r="D24">
        <v>0</v>
      </c>
      <c r="E24">
        <v>44.30545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529.18261300000006</v>
      </c>
      <c r="M24">
        <v>0</v>
      </c>
      <c r="N24">
        <v>21.753299999999999</v>
      </c>
      <c r="O24">
        <v>1051.7534129999999</v>
      </c>
      <c r="P24">
        <v>20.54888</v>
      </c>
      <c r="Q24">
        <v>27.910590000000003</v>
      </c>
      <c r="R24">
        <v>37.214120000000001</v>
      </c>
      <c r="S24">
        <v>64.461050000000014</v>
      </c>
      <c r="T24">
        <v>198.50808000000006</v>
      </c>
      <c r="U24">
        <v>0</v>
      </c>
      <c r="V24" s="3">
        <f t="shared" si="0"/>
        <v>1526.4423730000003</v>
      </c>
      <c r="W24" s="3">
        <f t="shared" si="1"/>
        <v>1526.4423730000003</v>
      </c>
      <c r="X24" s="3">
        <f t="shared" si="2"/>
        <v>0</v>
      </c>
    </row>
    <row r="25" spans="1:24" x14ac:dyDescent="0.15">
      <c r="A25" s="1" t="s">
        <v>183</v>
      </c>
      <c r="B25">
        <v>371.37044700000001</v>
      </c>
      <c r="C25">
        <v>465.07891740000002</v>
      </c>
      <c r="D25">
        <v>0</v>
      </c>
      <c r="E25">
        <v>0.12363740000000001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1037.8874880000001</v>
      </c>
      <c r="M25">
        <v>0</v>
      </c>
      <c r="N25">
        <v>6.5505700000000004</v>
      </c>
      <c r="O25">
        <v>783.17833500000017</v>
      </c>
      <c r="P25">
        <v>8.4432300000000016</v>
      </c>
      <c r="Q25">
        <v>24.530840000000001</v>
      </c>
      <c r="R25">
        <v>10.028640000000001</v>
      </c>
      <c r="S25">
        <v>19.49194</v>
      </c>
      <c r="T25">
        <v>92.07909999999994</v>
      </c>
      <c r="U25">
        <v>0</v>
      </c>
      <c r="V25" s="3">
        <f t="shared" si="0"/>
        <v>1409.3815724000001</v>
      </c>
      <c r="W25" s="3">
        <f t="shared" si="1"/>
        <v>1409.3815724000003</v>
      </c>
      <c r="X25" s="3">
        <f t="shared" si="2"/>
        <v>0</v>
      </c>
    </row>
    <row r="26" spans="1:24" x14ac:dyDescent="0.15">
      <c r="A26" s="1" t="s">
        <v>184</v>
      </c>
      <c r="B26">
        <v>529.64984000000004</v>
      </c>
      <c r="C26">
        <v>172.42870000000002</v>
      </c>
      <c r="D26">
        <v>31.413240000000002</v>
      </c>
      <c r="E26">
        <v>8.444492740966755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533.02150000000006</v>
      </c>
      <c r="M26">
        <v>0</v>
      </c>
      <c r="N26">
        <v>18.668510000000001</v>
      </c>
      <c r="O26">
        <v>675.34062174096675</v>
      </c>
      <c r="P26">
        <v>15.276470000000002</v>
      </c>
      <c r="Q26">
        <v>16.099900000000002</v>
      </c>
      <c r="R26">
        <v>13.445260000000001</v>
      </c>
      <c r="S26">
        <v>22.036311000000001</v>
      </c>
      <c r="T26">
        <v>106.40682000000002</v>
      </c>
      <c r="U26">
        <v>0</v>
      </c>
      <c r="V26" s="3">
        <f t="shared" si="0"/>
        <v>1071.1158327409669</v>
      </c>
      <c r="W26" s="3">
        <f t="shared" si="1"/>
        <v>1071.1158327409667</v>
      </c>
      <c r="X26" s="3">
        <f t="shared" si="2"/>
        <v>0</v>
      </c>
    </row>
    <row r="27" spans="1:24" x14ac:dyDescent="0.15">
      <c r="A27" s="1" t="s">
        <v>185</v>
      </c>
      <c r="B27">
        <v>106.54201</v>
      </c>
      <c r="C27">
        <v>246.68559399999998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986.58118000000002</v>
      </c>
      <c r="M27">
        <v>0</v>
      </c>
      <c r="N27">
        <v>44.268580000000007</v>
      </c>
      <c r="O27">
        <v>543.26375600000006</v>
      </c>
      <c r="P27">
        <v>13.130020000000002</v>
      </c>
      <c r="Q27">
        <v>40.089979999999997</v>
      </c>
      <c r="R27">
        <v>21.642690000000002</v>
      </c>
      <c r="S27">
        <v>49.345530000000004</v>
      </c>
      <c r="T27">
        <v>134.69704000000004</v>
      </c>
      <c r="U27">
        <v>0</v>
      </c>
      <c r="V27" s="3">
        <f t="shared" si="0"/>
        <v>1093.12319</v>
      </c>
      <c r="W27" s="3">
        <f t="shared" si="1"/>
        <v>1093.1231899999998</v>
      </c>
      <c r="X27" s="3">
        <f t="shared" si="2"/>
        <v>0</v>
      </c>
    </row>
    <row r="28" spans="1:24" x14ac:dyDescent="0.15">
      <c r="A28" s="1" t="s">
        <v>186</v>
      </c>
      <c r="B28">
        <v>238.90531000000004</v>
      </c>
      <c r="C28">
        <v>4.9405799999999997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726.11262899999997</v>
      </c>
      <c r="M28">
        <v>0</v>
      </c>
      <c r="N28">
        <v>64.706850000000003</v>
      </c>
      <c r="O28">
        <v>726.5313900000001</v>
      </c>
      <c r="P28">
        <v>5.4813400000000003</v>
      </c>
      <c r="Q28">
        <v>30.245690000000003</v>
      </c>
      <c r="R28">
        <v>9.364980000000001</v>
      </c>
      <c r="S28">
        <v>19.971250000000001</v>
      </c>
      <c r="T28">
        <v>103.77585900000003</v>
      </c>
      <c r="U28">
        <v>0</v>
      </c>
      <c r="V28" s="3">
        <f t="shared" si="0"/>
        <v>965.01793900000007</v>
      </c>
      <c r="W28" s="3">
        <f t="shared" si="1"/>
        <v>965.0179390000003</v>
      </c>
      <c r="X28" s="3">
        <f t="shared" si="2"/>
        <v>0</v>
      </c>
    </row>
    <row r="29" spans="1:24" x14ac:dyDescent="0.15">
      <c r="A29" s="1" t="s">
        <v>187</v>
      </c>
      <c r="B29">
        <v>232.15674810000002</v>
      </c>
      <c r="C29">
        <v>42.658590000000004</v>
      </c>
      <c r="D29">
        <v>0</v>
      </c>
      <c r="E29">
        <v>61.231975277100041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106.26051</v>
      </c>
      <c r="M29">
        <v>0</v>
      </c>
      <c r="N29">
        <v>0.88955020000000007</v>
      </c>
      <c r="O29">
        <v>322.98120000000006</v>
      </c>
      <c r="P29">
        <v>2.8144100000000001</v>
      </c>
      <c r="Q29">
        <v>1.2446083000000001</v>
      </c>
      <c r="R29">
        <v>3.0470597000000001</v>
      </c>
      <c r="S29">
        <v>6.7314788000000005</v>
      </c>
      <c r="T29">
        <v>19.282336500000014</v>
      </c>
      <c r="U29">
        <v>0</v>
      </c>
      <c r="V29" s="3">
        <f t="shared" si="0"/>
        <v>399.64923337710007</v>
      </c>
      <c r="W29" s="3">
        <f t="shared" si="1"/>
        <v>399.64923349999998</v>
      </c>
      <c r="X29" s="3">
        <f t="shared" si="2"/>
        <v>-1.2289990536373807E-7</v>
      </c>
    </row>
    <row r="30" spans="1:24" x14ac:dyDescent="0.15">
      <c r="A30" s="1" t="s">
        <v>188</v>
      </c>
      <c r="B30">
        <v>24.481680000000004</v>
      </c>
      <c r="C30">
        <v>24.395650000000003</v>
      </c>
      <c r="D30">
        <v>0</v>
      </c>
      <c r="E30">
        <v>10.398569000000043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562.38534000000004</v>
      </c>
      <c r="M30">
        <v>0</v>
      </c>
      <c r="N30">
        <v>12.73244</v>
      </c>
      <c r="O30">
        <v>489.88927899999999</v>
      </c>
      <c r="P30">
        <v>3.5594200000000003</v>
      </c>
      <c r="Q30">
        <v>8.7695509999999999</v>
      </c>
      <c r="R30">
        <v>10.268573999999999</v>
      </c>
      <c r="S30">
        <v>13.373405000000002</v>
      </c>
      <c r="T30">
        <v>34.277270000000016</v>
      </c>
      <c r="U30">
        <v>0</v>
      </c>
      <c r="V30" s="3">
        <f t="shared" si="0"/>
        <v>597.26558900000009</v>
      </c>
      <c r="W30" s="3">
        <f t="shared" si="1"/>
        <v>597.26558900000009</v>
      </c>
      <c r="X30" s="3">
        <f t="shared" si="2"/>
        <v>0</v>
      </c>
    </row>
    <row r="31" spans="1:24" x14ac:dyDescent="0.15">
      <c r="A31" s="1" t="s">
        <v>189</v>
      </c>
      <c r="B31">
        <v>79.553170000000009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879.43331199999989</v>
      </c>
      <c r="M31">
        <v>0</v>
      </c>
      <c r="N31">
        <v>46.517650000000003</v>
      </c>
      <c r="O31">
        <v>625.45541900000012</v>
      </c>
      <c r="P31">
        <v>4.1313700000000004</v>
      </c>
      <c r="Q31">
        <v>14.816710000000002</v>
      </c>
      <c r="R31">
        <v>24.782500000000002</v>
      </c>
      <c r="S31">
        <v>28.252100000000006</v>
      </c>
      <c r="T31">
        <v>215.03073299999986</v>
      </c>
      <c r="U31">
        <v>0</v>
      </c>
      <c r="V31" s="3">
        <f t="shared" si="0"/>
        <v>958.98648199999991</v>
      </c>
      <c r="W31" s="3">
        <f t="shared" si="1"/>
        <v>958.98648200000002</v>
      </c>
      <c r="X31" s="3">
        <f t="shared" si="2"/>
        <v>0</v>
      </c>
    </row>
    <row r="32" spans="1:24" x14ac:dyDescent="0.15">
      <c r="B32" s="3">
        <f>SUM(B2:B31)</f>
        <v>6668.6183556900005</v>
      </c>
      <c r="C32" s="3">
        <f t="shared" ref="C32:U32" si="3">SUM(C2:C31)</f>
        <v>4533.2801152313741</v>
      </c>
      <c r="D32" s="3">
        <f t="shared" si="3"/>
        <v>176.92684</v>
      </c>
      <c r="E32" s="3">
        <f t="shared" si="3"/>
        <v>4312.4432951562094</v>
      </c>
      <c r="F32" s="3">
        <f t="shared" si="3"/>
        <v>132.32643000000002</v>
      </c>
      <c r="G32" s="3">
        <f t="shared" si="3"/>
        <v>0</v>
      </c>
      <c r="H32" s="3">
        <f t="shared" si="3"/>
        <v>0</v>
      </c>
      <c r="I32" s="3">
        <f t="shared" si="3"/>
        <v>0</v>
      </c>
      <c r="J32" s="3">
        <f t="shared" si="3"/>
        <v>0</v>
      </c>
      <c r="K32" s="3">
        <f t="shared" si="3"/>
        <v>0</v>
      </c>
      <c r="L32" s="3">
        <f t="shared" si="3"/>
        <v>43188.871735727</v>
      </c>
      <c r="M32" s="3">
        <f t="shared" si="3"/>
        <v>0</v>
      </c>
      <c r="N32" s="3">
        <f t="shared" si="3"/>
        <v>1109.0031604999999</v>
      </c>
      <c r="O32" s="3">
        <f t="shared" si="3"/>
        <v>36451.457022764727</v>
      </c>
      <c r="P32" s="3">
        <f t="shared" si="3"/>
        <v>421.89118210000009</v>
      </c>
      <c r="Q32" s="3">
        <f t="shared" si="3"/>
        <v>763.33678699999996</v>
      </c>
      <c r="R32" s="3">
        <f t="shared" si="3"/>
        <v>1521.1570581999999</v>
      </c>
      <c r="S32" s="3">
        <f t="shared" si="3"/>
        <v>2464.9449096999992</v>
      </c>
      <c r="T32" s="3">
        <f t="shared" si="3"/>
        <v>6860.2627412000002</v>
      </c>
      <c r="U32" s="3">
        <f t="shared" si="3"/>
        <v>0</v>
      </c>
      <c r="V32" s="3">
        <f>SUM(V2:V31)</f>
        <v>54302.259816573212</v>
      </c>
    </row>
    <row r="33" spans="1:1" x14ac:dyDescent="0.15">
      <c r="A33" s="1" t="s">
        <v>11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33"/>
  <sheetViews>
    <sheetView zoomScale="60" zoomScaleNormal="60" workbookViewId="0">
      <selection activeCell="A2" sqref="A2:A31"/>
    </sheetView>
  </sheetViews>
  <sheetFormatPr defaultRowHeight="13.5" x14ac:dyDescent="0.15"/>
  <sheetData>
    <row r="1" spans="1:24" x14ac:dyDescent="0.15">
      <c r="B1" s="19" t="s">
        <v>0</v>
      </c>
      <c r="C1" t="s">
        <v>1</v>
      </c>
      <c r="D1" t="s">
        <v>2</v>
      </c>
      <c r="E1" t="s">
        <v>4</v>
      </c>
      <c r="F1" t="s">
        <v>3</v>
      </c>
      <c r="G1" t="s">
        <v>123</v>
      </c>
      <c r="H1" t="s">
        <v>124</v>
      </c>
      <c r="I1" t="s">
        <v>125</v>
      </c>
      <c r="J1" t="s">
        <v>126</v>
      </c>
      <c r="K1" t="s">
        <v>127</v>
      </c>
      <c r="L1" t="s">
        <v>128</v>
      </c>
      <c r="M1" t="s">
        <v>129</v>
      </c>
      <c r="N1" t="s">
        <v>5</v>
      </c>
      <c r="O1" t="s">
        <v>6</v>
      </c>
      <c r="P1" t="s">
        <v>7</v>
      </c>
      <c r="Q1" t="s">
        <v>122</v>
      </c>
      <c r="R1" t="s">
        <v>10</v>
      </c>
      <c r="S1" t="s">
        <v>8</v>
      </c>
      <c r="T1" t="s">
        <v>9</v>
      </c>
      <c r="U1" t="s">
        <v>118</v>
      </c>
    </row>
    <row r="2" spans="1:24" x14ac:dyDescent="0.15">
      <c r="A2" s="1" t="s">
        <v>160</v>
      </c>
      <c r="B2" s="3">
        <v>4.8100000000000005</v>
      </c>
      <c r="C2">
        <v>6.0000000000000497E-2</v>
      </c>
      <c r="D2">
        <v>0</v>
      </c>
      <c r="E2">
        <v>8.61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11.94</v>
      </c>
      <c r="M2">
        <v>0</v>
      </c>
      <c r="N2">
        <v>0</v>
      </c>
      <c r="O2">
        <v>1.42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 s="3">
        <f>B2+E2+F2</f>
        <v>13.42</v>
      </c>
      <c r="W2" s="3">
        <f>C2+D2+SUM(G2:U2)</f>
        <v>13.42</v>
      </c>
      <c r="X2" s="3">
        <f>V2-W2</f>
        <v>0</v>
      </c>
    </row>
    <row r="3" spans="1:24" x14ac:dyDescent="0.15">
      <c r="A3" s="1" t="s">
        <v>161</v>
      </c>
      <c r="B3">
        <v>29.300000000000004</v>
      </c>
      <c r="C3">
        <v>0</v>
      </c>
      <c r="D3">
        <v>0</v>
      </c>
      <c r="E3">
        <v>8.629999999999999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36.17</v>
      </c>
      <c r="P3">
        <v>0</v>
      </c>
      <c r="Q3">
        <v>0</v>
      </c>
      <c r="R3">
        <v>0</v>
      </c>
      <c r="S3">
        <v>0</v>
      </c>
      <c r="T3">
        <v>0</v>
      </c>
      <c r="U3">
        <v>1.76</v>
      </c>
      <c r="V3" s="3">
        <f t="shared" ref="V3:V31" si="0">B3+E3+F3</f>
        <v>37.930000000000007</v>
      </c>
      <c r="W3" s="3">
        <f t="shared" ref="W3:W31" si="1">C3+D3+SUM(G3:U3)</f>
        <v>37.93</v>
      </c>
      <c r="X3" s="3">
        <f t="shared" ref="X3:X31" si="2">V3-W3</f>
        <v>0</v>
      </c>
    </row>
    <row r="4" spans="1:24" x14ac:dyDescent="0.15">
      <c r="A4" s="1" t="s">
        <v>162</v>
      </c>
      <c r="B4">
        <v>218.84</v>
      </c>
      <c r="C4">
        <v>0</v>
      </c>
      <c r="D4">
        <v>0</v>
      </c>
      <c r="E4">
        <v>0</v>
      </c>
      <c r="F4">
        <v>0</v>
      </c>
      <c r="G4">
        <v>-0.18</v>
      </c>
      <c r="H4">
        <v>0</v>
      </c>
      <c r="I4">
        <v>0</v>
      </c>
      <c r="J4">
        <v>0</v>
      </c>
      <c r="K4">
        <v>0</v>
      </c>
      <c r="L4">
        <v>96.06</v>
      </c>
      <c r="M4">
        <v>0</v>
      </c>
      <c r="N4">
        <v>0</v>
      </c>
      <c r="O4">
        <v>122.85</v>
      </c>
      <c r="P4">
        <v>0</v>
      </c>
      <c r="Q4">
        <v>0</v>
      </c>
      <c r="R4">
        <v>0</v>
      </c>
      <c r="S4">
        <v>0</v>
      </c>
      <c r="T4">
        <v>0</v>
      </c>
      <c r="U4">
        <v>0.11</v>
      </c>
      <c r="V4" s="3">
        <f t="shared" si="0"/>
        <v>218.84</v>
      </c>
      <c r="W4" s="3">
        <f t="shared" si="1"/>
        <v>218.84</v>
      </c>
      <c r="X4" s="3">
        <f t="shared" si="2"/>
        <v>0</v>
      </c>
    </row>
    <row r="5" spans="1:24" x14ac:dyDescent="0.15">
      <c r="A5" s="1" t="s">
        <v>163</v>
      </c>
      <c r="B5">
        <v>402.09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373.5</v>
      </c>
      <c r="M5">
        <v>0</v>
      </c>
      <c r="N5">
        <v>0</v>
      </c>
      <c r="O5">
        <v>28.59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 s="3">
        <f t="shared" si="0"/>
        <v>402.09</v>
      </c>
      <c r="W5" s="3">
        <f t="shared" si="1"/>
        <v>402.09</v>
      </c>
      <c r="X5" s="3">
        <f t="shared" si="2"/>
        <v>0</v>
      </c>
    </row>
    <row r="6" spans="1:24" x14ac:dyDescent="0.15">
      <c r="A6" s="1" t="s">
        <v>164</v>
      </c>
      <c r="B6">
        <v>93.731431000000015</v>
      </c>
      <c r="C6">
        <v>0</v>
      </c>
      <c r="D6">
        <v>0</v>
      </c>
      <c r="E6">
        <v>5.2644999999999857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30.752343</v>
      </c>
      <c r="M6">
        <v>0</v>
      </c>
      <c r="N6">
        <v>0</v>
      </c>
      <c r="O6">
        <v>53.757688000000009</v>
      </c>
      <c r="P6">
        <v>0</v>
      </c>
      <c r="Q6">
        <v>0</v>
      </c>
      <c r="R6">
        <v>0</v>
      </c>
      <c r="S6">
        <v>0</v>
      </c>
      <c r="T6">
        <v>0</v>
      </c>
      <c r="U6">
        <v>14.485900000000001</v>
      </c>
      <c r="V6" s="3">
        <f t="shared" si="0"/>
        <v>98.995930999999999</v>
      </c>
      <c r="W6" s="3">
        <f t="shared" si="1"/>
        <v>98.995931000000013</v>
      </c>
      <c r="X6" s="3">
        <f t="shared" si="2"/>
        <v>0</v>
      </c>
    </row>
    <row r="7" spans="1:24" x14ac:dyDescent="0.15">
      <c r="A7" s="2" t="s">
        <v>165</v>
      </c>
      <c r="B7">
        <v>124.33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15.33</v>
      </c>
      <c r="M7">
        <v>0</v>
      </c>
      <c r="N7">
        <v>0</v>
      </c>
      <c r="O7">
        <v>108.94</v>
      </c>
      <c r="P7">
        <v>0</v>
      </c>
      <c r="Q7">
        <v>0</v>
      </c>
      <c r="R7">
        <v>0</v>
      </c>
      <c r="S7">
        <v>0</v>
      </c>
      <c r="T7">
        <v>0</v>
      </c>
      <c r="U7">
        <v>0.06</v>
      </c>
      <c r="V7" s="3">
        <f t="shared" si="0"/>
        <v>124.33</v>
      </c>
      <c r="W7" s="3">
        <f t="shared" si="1"/>
        <v>124.33</v>
      </c>
      <c r="X7" s="3">
        <f t="shared" si="2"/>
        <v>0</v>
      </c>
    </row>
    <row r="8" spans="1:24" x14ac:dyDescent="0.15">
      <c r="A8" s="1" t="s">
        <v>166</v>
      </c>
      <c r="B8">
        <v>153.92000000000002</v>
      </c>
      <c r="C8">
        <v>0</v>
      </c>
      <c r="D8">
        <v>0</v>
      </c>
      <c r="E8">
        <v>7.64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7.57</v>
      </c>
      <c r="M8">
        <v>0</v>
      </c>
      <c r="N8">
        <v>0</v>
      </c>
      <c r="O8">
        <v>91.29</v>
      </c>
      <c r="P8">
        <v>0</v>
      </c>
      <c r="Q8">
        <v>0</v>
      </c>
      <c r="R8">
        <v>0</v>
      </c>
      <c r="S8">
        <v>0</v>
      </c>
      <c r="T8">
        <v>62.7</v>
      </c>
      <c r="U8">
        <v>0</v>
      </c>
      <c r="V8" s="3">
        <f t="shared" si="0"/>
        <v>161.56</v>
      </c>
      <c r="W8" s="3">
        <f t="shared" si="1"/>
        <v>161.56</v>
      </c>
      <c r="X8" s="3">
        <f t="shared" si="2"/>
        <v>0</v>
      </c>
    </row>
    <row r="9" spans="1:24" x14ac:dyDescent="0.15">
      <c r="A9" s="1" t="s">
        <v>167</v>
      </c>
      <c r="B9">
        <v>0.08</v>
      </c>
      <c r="C9">
        <v>0</v>
      </c>
      <c r="D9">
        <v>0</v>
      </c>
      <c r="E9">
        <v>120.51</v>
      </c>
      <c r="F9">
        <v>0</v>
      </c>
      <c r="G9">
        <v>-15.18</v>
      </c>
      <c r="H9">
        <v>0</v>
      </c>
      <c r="I9">
        <v>0</v>
      </c>
      <c r="J9">
        <v>0</v>
      </c>
      <c r="K9">
        <v>0</v>
      </c>
      <c r="L9">
        <v>58.06</v>
      </c>
      <c r="M9">
        <v>0</v>
      </c>
      <c r="N9">
        <v>0</v>
      </c>
      <c r="O9">
        <v>77.67</v>
      </c>
      <c r="P9">
        <v>0</v>
      </c>
      <c r="Q9">
        <v>0</v>
      </c>
      <c r="R9">
        <v>0</v>
      </c>
      <c r="S9">
        <v>0</v>
      </c>
      <c r="T9">
        <v>0</v>
      </c>
      <c r="U9">
        <v>0.04</v>
      </c>
      <c r="V9" s="3">
        <f t="shared" si="0"/>
        <v>120.59</v>
      </c>
      <c r="W9" s="3">
        <f t="shared" si="1"/>
        <v>120.59000000000002</v>
      </c>
      <c r="X9" s="3">
        <f t="shared" si="2"/>
        <v>0</v>
      </c>
    </row>
    <row r="10" spans="1:24" x14ac:dyDescent="0.15">
      <c r="A10" s="1" t="s">
        <v>168</v>
      </c>
      <c r="B10">
        <v>10.119999999999999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10.119999999999999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 s="3">
        <f t="shared" si="0"/>
        <v>10.119999999999999</v>
      </c>
      <c r="W10" s="3">
        <f t="shared" si="1"/>
        <v>10.119999999999999</v>
      </c>
      <c r="X10" s="3">
        <f t="shared" si="2"/>
        <v>0</v>
      </c>
    </row>
    <row r="11" spans="1:24" x14ac:dyDescent="0.15">
      <c r="A11" s="1" t="s">
        <v>169</v>
      </c>
      <c r="B11">
        <v>39.380000000000003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39.03</v>
      </c>
      <c r="M11">
        <v>0</v>
      </c>
      <c r="N11">
        <v>0</v>
      </c>
      <c r="O11">
        <v>0.35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 s="3">
        <f t="shared" si="0"/>
        <v>39.380000000000003</v>
      </c>
      <c r="W11" s="3">
        <f t="shared" si="1"/>
        <v>39.380000000000003</v>
      </c>
      <c r="X11" s="3">
        <f t="shared" si="2"/>
        <v>0</v>
      </c>
    </row>
    <row r="12" spans="1:24" x14ac:dyDescent="0.15">
      <c r="A12" s="1" t="s">
        <v>170</v>
      </c>
      <c r="B12">
        <v>109.25</v>
      </c>
      <c r="C12">
        <v>3.3000000000011909E-3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48.728499999999997</v>
      </c>
      <c r="M12">
        <v>0</v>
      </c>
      <c r="N12">
        <v>0</v>
      </c>
      <c r="O12">
        <v>60.5182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 s="3">
        <f t="shared" si="0"/>
        <v>109.25</v>
      </c>
      <c r="W12" s="3">
        <f t="shared" si="1"/>
        <v>109.25</v>
      </c>
      <c r="X12" s="3">
        <f t="shared" si="2"/>
        <v>0</v>
      </c>
    </row>
    <row r="13" spans="1:24" x14ac:dyDescent="0.15">
      <c r="A13" s="1" t="s">
        <v>171</v>
      </c>
      <c r="B13">
        <v>7.9700000000000006</v>
      </c>
      <c r="C13">
        <v>0.34000000000000075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7.52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0.11</v>
      </c>
      <c r="V13" s="3">
        <f t="shared" si="0"/>
        <v>7.9700000000000006</v>
      </c>
      <c r="W13" s="3">
        <f t="shared" si="1"/>
        <v>7.9700000000000006</v>
      </c>
      <c r="X13" s="3">
        <f t="shared" si="2"/>
        <v>0</v>
      </c>
    </row>
    <row r="14" spans="1:24" x14ac:dyDescent="0.15">
      <c r="A14" s="1" t="s">
        <v>172</v>
      </c>
      <c r="B14">
        <v>94.77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13.64</v>
      </c>
      <c r="M14">
        <v>0</v>
      </c>
      <c r="N14">
        <v>0</v>
      </c>
      <c r="O14">
        <v>81.13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 s="3">
        <f t="shared" si="0"/>
        <v>94.77</v>
      </c>
      <c r="W14" s="3">
        <f t="shared" si="1"/>
        <v>94.77</v>
      </c>
      <c r="X14" s="3">
        <f t="shared" si="2"/>
        <v>0</v>
      </c>
    </row>
    <row r="15" spans="1:24" x14ac:dyDescent="0.15">
      <c r="A15" s="1" t="s">
        <v>173</v>
      </c>
      <c r="B15">
        <v>72.599999999999994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25.6</v>
      </c>
      <c r="M15">
        <v>0</v>
      </c>
      <c r="N15">
        <v>0</v>
      </c>
      <c r="O15">
        <v>47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 s="3">
        <f t="shared" si="0"/>
        <v>72.599999999999994</v>
      </c>
      <c r="W15" s="3">
        <f t="shared" si="1"/>
        <v>72.599999999999994</v>
      </c>
      <c r="X15" s="3">
        <f t="shared" si="2"/>
        <v>0</v>
      </c>
    </row>
    <row r="16" spans="1:24" x14ac:dyDescent="0.15">
      <c r="A16" s="1" t="s">
        <v>174</v>
      </c>
      <c r="B16">
        <v>82.857651000000004</v>
      </c>
      <c r="C16">
        <v>0</v>
      </c>
      <c r="D16">
        <v>0</v>
      </c>
      <c r="E16">
        <v>198.59573400000005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225.75480900000002</v>
      </c>
      <c r="M16">
        <v>0</v>
      </c>
      <c r="N16">
        <v>0</v>
      </c>
      <c r="O16">
        <v>54.773588000000046</v>
      </c>
      <c r="P16">
        <v>0</v>
      </c>
      <c r="Q16">
        <v>0</v>
      </c>
      <c r="R16">
        <v>0</v>
      </c>
      <c r="S16">
        <v>0</v>
      </c>
      <c r="T16">
        <v>0</v>
      </c>
      <c r="U16">
        <v>0.92498800000000003</v>
      </c>
      <c r="V16" s="3">
        <f t="shared" si="0"/>
        <v>281.45338500000003</v>
      </c>
      <c r="W16" s="3">
        <f t="shared" si="1"/>
        <v>281.45338500000003</v>
      </c>
      <c r="X16" s="3">
        <f t="shared" si="2"/>
        <v>0</v>
      </c>
    </row>
    <row r="17" spans="1:24" x14ac:dyDescent="0.15">
      <c r="A17" s="1" t="s">
        <v>175</v>
      </c>
      <c r="B17">
        <v>25.16</v>
      </c>
      <c r="C17">
        <v>0</v>
      </c>
      <c r="D17">
        <v>0</v>
      </c>
      <c r="E17">
        <v>88.91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72.400000000000006</v>
      </c>
      <c r="M17">
        <v>0</v>
      </c>
      <c r="N17">
        <v>0</v>
      </c>
      <c r="O17">
        <v>41.67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 s="3">
        <f t="shared" si="0"/>
        <v>114.07</v>
      </c>
      <c r="W17" s="3">
        <f t="shared" si="1"/>
        <v>114.07000000000001</v>
      </c>
      <c r="X17" s="3">
        <f t="shared" si="2"/>
        <v>0</v>
      </c>
    </row>
    <row r="18" spans="1:24" x14ac:dyDescent="0.15">
      <c r="A18" s="1" t="s">
        <v>176</v>
      </c>
      <c r="B18">
        <v>0</v>
      </c>
      <c r="C18">
        <v>0</v>
      </c>
      <c r="D18">
        <v>0</v>
      </c>
      <c r="E18">
        <v>197.9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35.950000000000003</v>
      </c>
      <c r="M18">
        <v>0</v>
      </c>
      <c r="N18">
        <v>0</v>
      </c>
      <c r="O18">
        <v>161.94999999999999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 s="3">
        <f t="shared" si="0"/>
        <v>197.9</v>
      </c>
      <c r="W18" s="3">
        <f t="shared" si="1"/>
        <v>197.89999999999998</v>
      </c>
      <c r="X18" s="3">
        <f t="shared" si="2"/>
        <v>0</v>
      </c>
    </row>
    <row r="19" spans="1:24" x14ac:dyDescent="0.15">
      <c r="A19" s="1" t="s">
        <v>177</v>
      </c>
      <c r="B19">
        <v>208.01</v>
      </c>
      <c r="C19">
        <v>0</v>
      </c>
      <c r="D19">
        <v>0</v>
      </c>
      <c r="E19">
        <v>41.72</v>
      </c>
      <c r="F19">
        <v>0</v>
      </c>
      <c r="G19">
        <v>-1.47</v>
      </c>
      <c r="H19">
        <v>0</v>
      </c>
      <c r="I19">
        <v>0</v>
      </c>
      <c r="J19">
        <v>0</v>
      </c>
      <c r="K19">
        <v>0</v>
      </c>
      <c r="L19">
        <v>29.46</v>
      </c>
      <c r="M19">
        <v>0</v>
      </c>
      <c r="N19">
        <v>5.2</v>
      </c>
      <c r="O19">
        <v>79.209999999999994</v>
      </c>
      <c r="P19">
        <v>0</v>
      </c>
      <c r="Q19">
        <v>0</v>
      </c>
      <c r="R19">
        <v>0</v>
      </c>
      <c r="S19">
        <v>0</v>
      </c>
      <c r="T19">
        <v>137.26</v>
      </c>
      <c r="U19">
        <v>7.0000000000000007E-2</v>
      </c>
      <c r="V19" s="3">
        <f t="shared" si="0"/>
        <v>249.73</v>
      </c>
      <c r="W19" s="3">
        <f t="shared" si="1"/>
        <v>249.73</v>
      </c>
      <c r="X19" s="3">
        <f t="shared" si="2"/>
        <v>0</v>
      </c>
    </row>
    <row r="20" spans="1:24" x14ac:dyDescent="0.15">
      <c r="A20" s="1" t="s">
        <v>178</v>
      </c>
      <c r="B20">
        <v>2.7299999999999942</v>
      </c>
      <c r="C20">
        <v>0</v>
      </c>
      <c r="D20">
        <v>0</v>
      </c>
      <c r="E20">
        <v>160.63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119.5</v>
      </c>
      <c r="M20">
        <v>0</v>
      </c>
      <c r="N20">
        <v>0</v>
      </c>
      <c r="O20">
        <v>41.23</v>
      </c>
      <c r="P20">
        <v>0</v>
      </c>
      <c r="Q20">
        <v>0</v>
      </c>
      <c r="R20">
        <v>0</v>
      </c>
      <c r="S20">
        <v>0</v>
      </c>
      <c r="T20">
        <v>0</v>
      </c>
      <c r="U20">
        <v>2.63</v>
      </c>
      <c r="V20" s="3">
        <f t="shared" si="0"/>
        <v>163.35999999999999</v>
      </c>
      <c r="W20" s="3">
        <f t="shared" si="1"/>
        <v>163.35999999999999</v>
      </c>
      <c r="X20" s="3">
        <f t="shared" si="2"/>
        <v>0</v>
      </c>
    </row>
    <row r="21" spans="1:24" x14ac:dyDescent="0.15">
      <c r="A21" s="1" t="s">
        <v>179</v>
      </c>
      <c r="B21">
        <v>301.14999999999998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94.18</v>
      </c>
      <c r="M21">
        <v>0</v>
      </c>
      <c r="N21">
        <v>0</v>
      </c>
      <c r="O21">
        <v>202.47</v>
      </c>
      <c r="P21">
        <v>0</v>
      </c>
      <c r="Q21">
        <v>0</v>
      </c>
      <c r="R21">
        <v>0</v>
      </c>
      <c r="S21">
        <v>0</v>
      </c>
      <c r="T21">
        <v>4.5</v>
      </c>
      <c r="U21">
        <v>0</v>
      </c>
      <c r="V21" s="3">
        <f t="shared" si="0"/>
        <v>301.14999999999998</v>
      </c>
      <c r="W21" s="3">
        <f t="shared" si="1"/>
        <v>301.14999999999998</v>
      </c>
      <c r="X21" s="3">
        <f t="shared" si="2"/>
        <v>0</v>
      </c>
    </row>
    <row r="22" spans="1:24" x14ac:dyDescent="0.15">
      <c r="A22" s="1" t="s">
        <v>180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 s="3">
        <f t="shared" si="0"/>
        <v>0</v>
      </c>
      <c r="W22" s="3">
        <f t="shared" si="1"/>
        <v>0</v>
      </c>
      <c r="X22" s="3">
        <f t="shared" si="2"/>
        <v>0</v>
      </c>
    </row>
    <row r="23" spans="1:24" x14ac:dyDescent="0.15">
      <c r="A23" s="1" t="s">
        <v>181</v>
      </c>
      <c r="B23">
        <v>428.65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23.21</v>
      </c>
      <c r="M23">
        <v>0</v>
      </c>
      <c r="N23">
        <v>0</v>
      </c>
      <c r="O23">
        <v>402.13</v>
      </c>
      <c r="P23">
        <v>0</v>
      </c>
      <c r="Q23">
        <v>0</v>
      </c>
      <c r="R23">
        <v>0</v>
      </c>
      <c r="S23">
        <v>0</v>
      </c>
      <c r="T23">
        <v>0</v>
      </c>
      <c r="U23">
        <v>3.31</v>
      </c>
      <c r="V23" s="3">
        <f t="shared" si="0"/>
        <v>428.65</v>
      </c>
      <c r="W23" s="3">
        <f t="shared" si="1"/>
        <v>428.65</v>
      </c>
      <c r="X23" s="3">
        <f t="shared" si="2"/>
        <v>0</v>
      </c>
    </row>
    <row r="24" spans="1:24" x14ac:dyDescent="0.15">
      <c r="A24" s="1" t="s">
        <v>182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 s="3">
        <f t="shared" si="0"/>
        <v>0</v>
      </c>
      <c r="W24" s="3">
        <f t="shared" si="1"/>
        <v>0</v>
      </c>
      <c r="X24" s="3">
        <f t="shared" si="2"/>
        <v>0</v>
      </c>
    </row>
    <row r="25" spans="1:24" x14ac:dyDescent="0.15">
      <c r="A25" s="1" t="s">
        <v>183</v>
      </c>
      <c r="B25">
        <v>44.1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44.1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 s="3">
        <f t="shared" si="0"/>
        <v>44.1</v>
      </c>
      <c r="W25" s="3">
        <f t="shared" si="1"/>
        <v>44.1</v>
      </c>
      <c r="X25" s="3">
        <f t="shared" si="2"/>
        <v>0</v>
      </c>
    </row>
    <row r="26" spans="1:24" x14ac:dyDescent="0.15">
      <c r="A26" s="1" t="s">
        <v>184</v>
      </c>
      <c r="B26">
        <v>200.85720000000001</v>
      </c>
      <c r="C26">
        <v>0</v>
      </c>
      <c r="D26">
        <v>0</v>
      </c>
      <c r="E26">
        <v>3.735000000006039E-3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50.302135999999997</v>
      </c>
      <c r="M26">
        <v>0</v>
      </c>
      <c r="N26">
        <v>21.66</v>
      </c>
      <c r="O26">
        <v>82.688799000000003</v>
      </c>
      <c r="P26">
        <v>0</v>
      </c>
      <c r="Q26">
        <v>0</v>
      </c>
      <c r="R26">
        <v>0</v>
      </c>
      <c r="S26">
        <v>0</v>
      </c>
      <c r="T26">
        <v>43.470000000000013</v>
      </c>
      <c r="U26">
        <v>2.74</v>
      </c>
      <c r="V26" s="3">
        <f t="shared" si="0"/>
        <v>200.86093500000001</v>
      </c>
      <c r="W26" s="3">
        <f t="shared" si="1"/>
        <v>200.86093500000004</v>
      </c>
      <c r="X26" s="3">
        <f t="shared" si="2"/>
        <v>0</v>
      </c>
    </row>
    <row r="27" spans="1:24" x14ac:dyDescent="0.15">
      <c r="A27" s="1" t="s">
        <v>185</v>
      </c>
      <c r="B27">
        <v>180</v>
      </c>
      <c r="C27">
        <v>0</v>
      </c>
      <c r="D27">
        <v>0</v>
      </c>
      <c r="E27">
        <v>2.2899999999999903</v>
      </c>
      <c r="F27">
        <v>0</v>
      </c>
      <c r="G27">
        <v>-12.47</v>
      </c>
      <c r="H27">
        <v>0</v>
      </c>
      <c r="I27">
        <v>0</v>
      </c>
      <c r="J27">
        <v>0</v>
      </c>
      <c r="K27">
        <v>0</v>
      </c>
      <c r="L27">
        <v>94.36</v>
      </c>
      <c r="M27">
        <v>0</v>
      </c>
      <c r="N27">
        <v>0</v>
      </c>
      <c r="O27">
        <v>97.51</v>
      </c>
      <c r="P27">
        <v>0</v>
      </c>
      <c r="Q27">
        <v>0</v>
      </c>
      <c r="R27">
        <v>0</v>
      </c>
      <c r="S27">
        <v>0</v>
      </c>
      <c r="T27">
        <v>0</v>
      </c>
      <c r="U27">
        <v>2.89</v>
      </c>
      <c r="V27" s="3">
        <f t="shared" si="0"/>
        <v>182.29</v>
      </c>
      <c r="W27" s="3">
        <f t="shared" si="1"/>
        <v>182.29</v>
      </c>
      <c r="X27" s="3">
        <f t="shared" si="2"/>
        <v>0</v>
      </c>
    </row>
    <row r="28" spans="1:24" x14ac:dyDescent="0.15">
      <c r="A28" s="1" t="s">
        <v>186</v>
      </c>
      <c r="B28">
        <v>128.37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10.67</v>
      </c>
      <c r="M28">
        <v>0</v>
      </c>
      <c r="N28">
        <v>3.1</v>
      </c>
      <c r="O28">
        <v>110.6</v>
      </c>
      <c r="P28">
        <v>4</v>
      </c>
      <c r="Q28">
        <v>0</v>
      </c>
      <c r="R28">
        <v>0</v>
      </c>
      <c r="S28">
        <v>0</v>
      </c>
      <c r="T28">
        <v>0</v>
      </c>
      <c r="U28">
        <v>0</v>
      </c>
      <c r="V28" s="3">
        <f t="shared" si="0"/>
        <v>128.37</v>
      </c>
      <c r="W28" s="3">
        <f t="shared" si="1"/>
        <v>128.37</v>
      </c>
      <c r="X28" s="3">
        <f t="shared" si="2"/>
        <v>0</v>
      </c>
    </row>
    <row r="29" spans="1:24" x14ac:dyDescent="0.15">
      <c r="A29" s="1" t="s">
        <v>187</v>
      </c>
      <c r="B29">
        <v>0</v>
      </c>
      <c r="C29">
        <v>5.1000000000023249E-4</v>
      </c>
      <c r="D29">
        <v>0</v>
      </c>
      <c r="E29">
        <v>1.6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1.5994999999999999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 s="3">
        <f t="shared" si="0"/>
        <v>1.6</v>
      </c>
      <c r="W29" s="3">
        <f t="shared" si="1"/>
        <v>1.6000100000000002</v>
      </c>
      <c r="X29" s="3">
        <f t="shared" si="2"/>
        <v>-1.0000000000065512E-5</v>
      </c>
    </row>
    <row r="30" spans="1:24" x14ac:dyDescent="0.15">
      <c r="A30" s="1" t="s">
        <v>188</v>
      </c>
      <c r="B30">
        <v>0</v>
      </c>
      <c r="C30">
        <v>0</v>
      </c>
      <c r="D30">
        <v>0</v>
      </c>
      <c r="E30">
        <v>158.07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158.07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 s="3">
        <f t="shared" si="0"/>
        <v>158.07</v>
      </c>
      <c r="W30" s="3">
        <f t="shared" si="1"/>
        <v>158.07</v>
      </c>
      <c r="X30" s="3">
        <f t="shared" si="2"/>
        <v>0</v>
      </c>
    </row>
    <row r="31" spans="1:24" x14ac:dyDescent="0.15">
      <c r="A31" s="1" t="s">
        <v>189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 s="3">
        <f t="shared" si="0"/>
        <v>0</v>
      </c>
      <c r="W31" s="3">
        <f t="shared" si="1"/>
        <v>0</v>
      </c>
      <c r="X31" s="3">
        <f t="shared" si="2"/>
        <v>0</v>
      </c>
    </row>
    <row r="32" spans="1:24" x14ac:dyDescent="0.15">
      <c r="B32" s="3">
        <f>SUM(B2:B31)</f>
        <v>2963.076282</v>
      </c>
      <c r="C32" s="3">
        <f t="shared" ref="C32:U32" si="3">SUM(C2:C31)</f>
        <v>0.40381000000000267</v>
      </c>
      <c r="D32" s="3">
        <f t="shared" si="3"/>
        <v>0</v>
      </c>
      <c r="E32" s="3">
        <f t="shared" si="3"/>
        <v>1000.373969</v>
      </c>
      <c r="F32" s="3">
        <f t="shared" si="3"/>
        <v>0</v>
      </c>
      <c r="G32" s="3">
        <f t="shared" si="3"/>
        <v>-29.299999999999997</v>
      </c>
      <c r="H32" s="3">
        <f t="shared" si="3"/>
        <v>0</v>
      </c>
      <c r="I32" s="3">
        <f t="shared" si="3"/>
        <v>0</v>
      </c>
      <c r="J32" s="3">
        <f t="shared" si="3"/>
        <v>0</v>
      </c>
      <c r="K32" s="3">
        <f t="shared" si="3"/>
        <v>0</v>
      </c>
      <c r="L32" s="3">
        <f t="shared" si="3"/>
        <v>1537.7377880000004</v>
      </c>
      <c r="M32" s="3">
        <f t="shared" si="3"/>
        <v>0</v>
      </c>
      <c r="N32" s="3">
        <f t="shared" si="3"/>
        <v>29.96</v>
      </c>
      <c r="O32" s="3">
        <f t="shared" si="3"/>
        <v>2143.587775</v>
      </c>
      <c r="P32" s="3">
        <f t="shared" si="3"/>
        <v>4</v>
      </c>
      <c r="Q32" s="3">
        <f t="shared" si="3"/>
        <v>0</v>
      </c>
      <c r="R32" s="3">
        <f t="shared" si="3"/>
        <v>0</v>
      </c>
      <c r="S32" s="3">
        <f t="shared" si="3"/>
        <v>0</v>
      </c>
      <c r="T32" s="3">
        <f t="shared" si="3"/>
        <v>247.93</v>
      </c>
      <c r="U32" s="3">
        <f t="shared" si="3"/>
        <v>29.130887999999999</v>
      </c>
    </row>
    <row r="33" spans="1:1" x14ac:dyDescent="0.15">
      <c r="A33" s="1" t="s">
        <v>11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workbookViewId="0">
      <selection activeCell="E32" sqref="E32"/>
    </sheetView>
  </sheetViews>
  <sheetFormatPr defaultRowHeight="13.5" x14ac:dyDescent="0.15"/>
  <cols>
    <col min="1" max="1" width="27.875" customWidth="1"/>
    <col min="2" max="2" width="43.875" customWidth="1"/>
    <col min="3" max="3" width="39.125" customWidth="1"/>
  </cols>
  <sheetData>
    <row r="1" spans="1:5" ht="20.25" x14ac:dyDescent="0.15">
      <c r="A1" s="21" t="s">
        <v>12</v>
      </c>
      <c r="B1" s="21"/>
      <c r="C1" s="21"/>
    </row>
    <row r="2" spans="1:5" ht="14.25" thickBot="1" x14ac:dyDescent="0.2">
      <c r="A2" s="4"/>
      <c r="B2" s="4"/>
      <c r="C2" s="4"/>
    </row>
    <row r="3" spans="1:5" x14ac:dyDescent="0.15">
      <c r="A3" s="5" t="s">
        <v>13</v>
      </c>
      <c r="B3" s="6" t="s">
        <v>14</v>
      </c>
      <c r="C3" s="7" t="s">
        <v>15</v>
      </c>
      <c r="E3" s="20" t="s">
        <v>121</v>
      </c>
    </row>
    <row r="4" spans="1:5" x14ac:dyDescent="0.15">
      <c r="A4" s="8"/>
      <c r="B4" s="9"/>
      <c r="C4" s="10"/>
    </row>
    <row r="5" spans="1:5" x14ac:dyDescent="0.15">
      <c r="A5" s="8" t="s">
        <v>16</v>
      </c>
      <c r="B5" s="11" t="s">
        <v>49</v>
      </c>
      <c r="C5" s="12" t="s">
        <v>50</v>
      </c>
      <c r="D5" t="str">
        <f>MID(C5,1,6)</f>
        <v>0.7143</v>
      </c>
      <c r="E5" s="17">
        <v>0.7248</v>
      </c>
    </row>
    <row r="6" spans="1:5" x14ac:dyDescent="0.15">
      <c r="A6" s="8" t="s">
        <v>51</v>
      </c>
      <c r="B6" s="11" t="s">
        <v>52</v>
      </c>
      <c r="C6" s="12" t="s">
        <v>53</v>
      </c>
      <c r="D6" t="str">
        <f t="shared" ref="D6:D47" si="0">MID(C6,1,6)</f>
        <v>0.9000</v>
      </c>
      <c r="E6" s="16">
        <v>0.9</v>
      </c>
    </row>
    <row r="7" spans="1:5" x14ac:dyDescent="0.15">
      <c r="A7" s="8" t="s">
        <v>17</v>
      </c>
      <c r="B7" s="11"/>
      <c r="C7" s="12"/>
      <c r="D7" t="str">
        <f t="shared" si="0"/>
        <v/>
      </c>
      <c r="E7" t="s">
        <v>116</v>
      </c>
    </row>
    <row r="8" spans="1:5" x14ac:dyDescent="0.15">
      <c r="A8" s="8" t="s">
        <v>18</v>
      </c>
      <c r="B8" s="11" t="s">
        <v>54</v>
      </c>
      <c r="C8" s="12" t="s">
        <v>55</v>
      </c>
      <c r="D8" t="str">
        <f t="shared" si="0"/>
        <v>0.2857</v>
      </c>
      <c r="E8" s="17">
        <v>0.5252</v>
      </c>
    </row>
    <row r="9" spans="1:5" x14ac:dyDescent="0.15">
      <c r="A9" s="8" t="s">
        <v>19</v>
      </c>
      <c r="B9" s="11" t="s">
        <v>56</v>
      </c>
      <c r="C9" s="12" t="s">
        <v>57</v>
      </c>
      <c r="D9" t="str">
        <f t="shared" si="0"/>
        <v>0.2857</v>
      </c>
      <c r="E9" s="16">
        <v>0.35720000000000002</v>
      </c>
    </row>
    <row r="10" spans="1:5" x14ac:dyDescent="0.15">
      <c r="A10" s="8" t="s">
        <v>117</v>
      </c>
      <c r="B10" s="11"/>
      <c r="C10" s="12"/>
      <c r="E10" s="17">
        <v>0.6</v>
      </c>
    </row>
    <row r="11" spans="1:5" x14ac:dyDescent="0.15">
      <c r="A11" s="8" t="s">
        <v>20</v>
      </c>
      <c r="B11" s="11" t="s">
        <v>58</v>
      </c>
      <c r="C11" s="12" t="s">
        <v>59</v>
      </c>
      <c r="D11" t="str">
        <f t="shared" si="0"/>
        <v>0.9714</v>
      </c>
      <c r="E11" s="16">
        <v>0.97140000000000004</v>
      </c>
    </row>
    <row r="12" spans="1:5" x14ac:dyDescent="0.15">
      <c r="A12" s="8" t="s">
        <v>21</v>
      </c>
      <c r="B12" s="11" t="s">
        <v>60</v>
      </c>
      <c r="C12" s="12" t="s">
        <v>61</v>
      </c>
      <c r="D12" t="str">
        <f t="shared" si="0"/>
        <v>1.4286</v>
      </c>
      <c r="E12" s="16">
        <v>1.4286000000000001</v>
      </c>
    </row>
    <row r="13" spans="1:5" x14ac:dyDescent="0.15">
      <c r="A13" s="8" t="s">
        <v>62</v>
      </c>
      <c r="B13" s="11" t="s">
        <v>60</v>
      </c>
      <c r="C13" s="12" t="s">
        <v>61</v>
      </c>
      <c r="D13" t="str">
        <f t="shared" si="0"/>
        <v>1.4286</v>
      </c>
      <c r="E13" s="16">
        <v>1.4286000000000001</v>
      </c>
    </row>
    <row r="14" spans="1:5" x14ac:dyDescent="0.15">
      <c r="A14" s="8" t="s">
        <v>22</v>
      </c>
      <c r="B14" s="11" t="s">
        <v>63</v>
      </c>
      <c r="C14" s="12" t="s">
        <v>64</v>
      </c>
      <c r="D14" t="str">
        <f t="shared" si="0"/>
        <v>1.4714</v>
      </c>
      <c r="E14" s="16">
        <v>1.4714</v>
      </c>
    </row>
    <row r="15" spans="1:5" x14ac:dyDescent="0.15">
      <c r="A15" s="8" t="s">
        <v>23</v>
      </c>
      <c r="B15" s="11" t="s">
        <v>63</v>
      </c>
      <c r="C15" s="12" t="s">
        <v>64</v>
      </c>
      <c r="D15" t="str">
        <f t="shared" si="0"/>
        <v>1.4714</v>
      </c>
      <c r="E15" s="16">
        <v>1.4714</v>
      </c>
    </row>
    <row r="16" spans="1:5" x14ac:dyDescent="0.15">
      <c r="A16" s="8" t="s">
        <v>24</v>
      </c>
      <c r="B16" s="11" t="s">
        <v>65</v>
      </c>
      <c r="C16" s="12" t="s">
        <v>66</v>
      </c>
      <c r="D16" t="str">
        <f t="shared" si="0"/>
        <v>1.4571</v>
      </c>
      <c r="E16" s="16">
        <v>1.4571000000000001</v>
      </c>
    </row>
    <row r="17" spans="1:5" x14ac:dyDescent="0.15">
      <c r="A17" s="8" t="s">
        <v>25</v>
      </c>
      <c r="B17" s="11" t="s">
        <v>67</v>
      </c>
      <c r="C17" s="12" t="s">
        <v>68</v>
      </c>
      <c r="D17" t="str">
        <f t="shared" si="0"/>
        <v>1.7143</v>
      </c>
      <c r="E17" s="16">
        <v>1.7142999999999999</v>
      </c>
    </row>
    <row r="18" spans="1:5" x14ac:dyDescent="0.15">
      <c r="A18" s="8" t="s">
        <v>26</v>
      </c>
      <c r="B18" s="11" t="s">
        <v>69</v>
      </c>
      <c r="C18" s="12" t="s">
        <v>70</v>
      </c>
      <c r="D18" t="str">
        <f t="shared" si="0"/>
        <v>1.5714</v>
      </c>
      <c r="E18" s="16">
        <v>1.5713999999999999</v>
      </c>
    </row>
    <row r="19" spans="1:5" x14ac:dyDescent="0.15">
      <c r="A19" s="8" t="s">
        <v>71</v>
      </c>
      <c r="B19" s="11" t="s">
        <v>72</v>
      </c>
      <c r="C19" s="12" t="s">
        <v>73</v>
      </c>
      <c r="D19" t="str">
        <f t="shared" si="0"/>
        <v>1.3300</v>
      </c>
      <c r="E19" s="16">
        <v>13.3</v>
      </c>
    </row>
    <row r="20" spans="1:5" x14ac:dyDescent="0.15">
      <c r="A20" s="8" t="s">
        <v>27</v>
      </c>
      <c r="B20" s="11" t="s">
        <v>74</v>
      </c>
      <c r="C20" s="12" t="s">
        <v>75</v>
      </c>
      <c r="D20" t="str">
        <f t="shared" si="0"/>
        <v>0.5714</v>
      </c>
      <c r="E20" s="17">
        <v>6.1429999999999998</v>
      </c>
    </row>
    <row r="21" spans="1:5" x14ac:dyDescent="0.15">
      <c r="A21" s="18" t="s">
        <v>28</v>
      </c>
      <c r="B21" s="11"/>
      <c r="C21" s="12"/>
      <c r="D21" t="str">
        <f t="shared" si="0"/>
        <v/>
      </c>
      <c r="E21" t="s">
        <v>116</v>
      </c>
    </row>
    <row r="22" spans="1:5" x14ac:dyDescent="0.15">
      <c r="A22" s="8" t="s">
        <v>76</v>
      </c>
      <c r="B22" s="11" t="s">
        <v>77</v>
      </c>
      <c r="C22" s="12" t="s">
        <v>78</v>
      </c>
      <c r="D22" t="str">
        <f t="shared" si="0"/>
        <v>0.1786</v>
      </c>
      <c r="E22" s="16">
        <v>0.17860000000000001</v>
      </c>
    </row>
    <row r="23" spans="1:5" x14ac:dyDescent="0.15">
      <c r="A23" s="8" t="s">
        <v>29</v>
      </c>
      <c r="B23" s="11" t="s">
        <v>79</v>
      </c>
      <c r="C23" s="12" t="s">
        <v>80</v>
      </c>
      <c r="D23" t="str">
        <f t="shared" si="0"/>
        <v>0.6571</v>
      </c>
      <c r="E23" s="16">
        <v>0.65710000000000002</v>
      </c>
    </row>
    <row r="24" spans="1:5" x14ac:dyDescent="0.15">
      <c r="A24" s="8" t="s">
        <v>30</v>
      </c>
      <c r="B24" s="11" t="s">
        <v>81</v>
      </c>
      <c r="C24" s="12" t="s">
        <v>82</v>
      </c>
      <c r="D24" t="str">
        <f t="shared" si="0"/>
        <v>1.2143</v>
      </c>
      <c r="E24" s="16">
        <v>1.2142999999999999</v>
      </c>
    </row>
    <row r="25" spans="1:5" x14ac:dyDescent="0.15">
      <c r="A25" s="8" t="s">
        <v>83</v>
      </c>
      <c r="B25" s="11" t="s">
        <v>84</v>
      </c>
      <c r="C25" s="12" t="s">
        <v>85</v>
      </c>
      <c r="D25" t="str">
        <f t="shared" si="0"/>
        <v>0.5571</v>
      </c>
      <c r="E25" s="16">
        <v>0.55710000000000004</v>
      </c>
    </row>
    <row r="26" spans="1:5" x14ac:dyDescent="0.15">
      <c r="A26" s="8" t="s">
        <v>31</v>
      </c>
      <c r="B26" s="11" t="s">
        <v>86</v>
      </c>
      <c r="C26" s="12" t="s">
        <v>87</v>
      </c>
      <c r="D26" t="str">
        <f t="shared" si="0"/>
        <v>0.5143</v>
      </c>
      <c r="E26" s="16">
        <v>0.51429999999999998</v>
      </c>
    </row>
    <row r="27" spans="1:5" x14ac:dyDescent="0.15">
      <c r="A27" s="8" t="s">
        <v>32</v>
      </c>
      <c r="B27" s="11" t="s">
        <v>88</v>
      </c>
      <c r="C27" s="12" t="s">
        <v>89</v>
      </c>
      <c r="D27" t="str">
        <f t="shared" si="0"/>
        <v>0.3571</v>
      </c>
      <c r="E27" s="17">
        <v>2.8759999999999999</v>
      </c>
    </row>
    <row r="28" spans="1:5" x14ac:dyDescent="0.15">
      <c r="A28" s="8" t="s">
        <v>33</v>
      </c>
      <c r="B28" s="11" t="s">
        <v>90</v>
      </c>
      <c r="C28" s="12" t="s">
        <v>91</v>
      </c>
      <c r="D28" t="str">
        <f t="shared" si="0"/>
        <v>1.1429</v>
      </c>
      <c r="E28" s="16">
        <v>1.1429</v>
      </c>
    </row>
    <row r="29" spans="1:5" x14ac:dyDescent="0.15">
      <c r="A29" s="8" t="s">
        <v>34</v>
      </c>
      <c r="B29" s="11" t="s">
        <v>60</v>
      </c>
      <c r="C29" s="12" t="s">
        <v>61</v>
      </c>
      <c r="D29" t="str">
        <f t="shared" si="0"/>
        <v>1.4286</v>
      </c>
      <c r="E29" s="16">
        <v>1.4286000000000001</v>
      </c>
    </row>
    <row r="30" spans="1:5" x14ac:dyDescent="0.15">
      <c r="A30" s="8" t="s">
        <v>92</v>
      </c>
      <c r="B30" s="11"/>
      <c r="C30" s="12" t="s">
        <v>93</v>
      </c>
      <c r="D30" t="str">
        <f t="shared" si="0"/>
        <v>0.0341</v>
      </c>
      <c r="E30" s="16">
        <v>3.4099999999999998E-2</v>
      </c>
    </row>
    <row r="31" spans="1:5" x14ac:dyDescent="0.15">
      <c r="A31" s="8"/>
      <c r="B31" s="11"/>
      <c r="C31" s="12" t="s">
        <v>94</v>
      </c>
    </row>
    <row r="32" spans="1:5" x14ac:dyDescent="0.15">
      <c r="A32" s="8" t="s">
        <v>95</v>
      </c>
      <c r="B32" s="11" t="s">
        <v>96</v>
      </c>
      <c r="C32" s="12" t="s">
        <v>97</v>
      </c>
      <c r="D32" t="str">
        <f t="shared" si="0"/>
        <v>0.1229</v>
      </c>
      <c r="E32" s="16">
        <v>1.2290000000000001</v>
      </c>
    </row>
    <row r="33" spans="1:5" x14ac:dyDescent="0.15">
      <c r="A33" s="8" t="s">
        <v>98</v>
      </c>
      <c r="B33" s="9" t="s">
        <v>99</v>
      </c>
      <c r="C33" s="12"/>
      <c r="D33" t="str">
        <f t="shared" si="0"/>
        <v/>
      </c>
      <c r="E33" t="s">
        <v>116</v>
      </c>
    </row>
    <row r="34" spans="1:5" x14ac:dyDescent="0.15">
      <c r="A34" s="8" t="s">
        <v>35</v>
      </c>
      <c r="B34" s="11"/>
      <c r="C34" s="12"/>
      <c r="D34" t="str">
        <f t="shared" si="0"/>
        <v/>
      </c>
      <c r="E34" t="s">
        <v>116</v>
      </c>
    </row>
    <row r="35" spans="1:5" x14ac:dyDescent="0.15">
      <c r="A35" s="8" t="s">
        <v>36</v>
      </c>
      <c r="B35" s="11" t="s">
        <v>100</v>
      </c>
      <c r="C35" s="12" t="s">
        <v>101</v>
      </c>
      <c r="D35" t="str">
        <f t="shared" si="0"/>
        <v xml:space="preserve">0.643 </v>
      </c>
      <c r="E35" s="16">
        <v>0.64300000000000002</v>
      </c>
    </row>
    <row r="36" spans="1:5" x14ac:dyDescent="0.15">
      <c r="A36" s="8" t="s">
        <v>37</v>
      </c>
      <c r="B36" s="11" t="s">
        <v>102</v>
      </c>
      <c r="C36" s="12" t="s">
        <v>103</v>
      </c>
      <c r="D36" t="str">
        <f t="shared" si="0"/>
        <v xml:space="preserve">0.471 </v>
      </c>
      <c r="E36" s="16">
        <v>0.47099999999999997</v>
      </c>
    </row>
    <row r="37" spans="1:5" x14ac:dyDescent="0.15">
      <c r="A37" s="8" t="s">
        <v>38</v>
      </c>
      <c r="B37" s="11" t="s">
        <v>104</v>
      </c>
      <c r="C37" s="12" t="s">
        <v>105</v>
      </c>
      <c r="D37" t="str">
        <f t="shared" si="0"/>
        <v xml:space="preserve">0.429 </v>
      </c>
      <c r="E37" s="16">
        <v>0.42899999999999999</v>
      </c>
    </row>
    <row r="38" spans="1:5" x14ac:dyDescent="0.15">
      <c r="A38" s="8" t="s">
        <v>39</v>
      </c>
      <c r="B38" s="11" t="s">
        <v>106</v>
      </c>
      <c r="C38" s="12" t="s">
        <v>107</v>
      </c>
      <c r="D38" t="str">
        <f t="shared" si="0"/>
        <v xml:space="preserve">0.529 </v>
      </c>
      <c r="E38" s="16">
        <v>0.52900000000000003</v>
      </c>
    </row>
    <row r="39" spans="1:5" x14ac:dyDescent="0.15">
      <c r="A39" s="8" t="s">
        <v>40</v>
      </c>
      <c r="B39" s="11" t="s">
        <v>100</v>
      </c>
      <c r="C39" s="12" t="s">
        <v>101</v>
      </c>
      <c r="D39" t="str">
        <f t="shared" si="0"/>
        <v xml:space="preserve">0.643 </v>
      </c>
      <c r="E39" s="16">
        <v>0.64300000000000002</v>
      </c>
    </row>
    <row r="40" spans="1:5" x14ac:dyDescent="0.15">
      <c r="A40" s="8" t="s">
        <v>41</v>
      </c>
      <c r="B40" s="11" t="s">
        <v>108</v>
      </c>
      <c r="C40" s="12" t="s">
        <v>109</v>
      </c>
      <c r="D40" t="str">
        <f t="shared" si="0"/>
        <v xml:space="preserve">0.543 </v>
      </c>
      <c r="E40" s="16">
        <v>0.54300000000000004</v>
      </c>
    </row>
    <row r="41" spans="1:5" x14ac:dyDescent="0.15">
      <c r="A41" s="8" t="s">
        <v>42</v>
      </c>
      <c r="B41" s="11" t="s">
        <v>104</v>
      </c>
      <c r="C41" s="12" t="s">
        <v>105</v>
      </c>
      <c r="D41" t="str">
        <f t="shared" si="0"/>
        <v xml:space="preserve">0.429 </v>
      </c>
      <c r="E41" s="16">
        <v>0.42899999999999999</v>
      </c>
    </row>
    <row r="42" spans="1:5" x14ac:dyDescent="0.15">
      <c r="A42" s="8" t="s">
        <v>43</v>
      </c>
      <c r="B42" s="11" t="s">
        <v>110</v>
      </c>
      <c r="C42" s="12" t="s">
        <v>111</v>
      </c>
      <c r="D42" t="str">
        <f t="shared" si="0"/>
        <v xml:space="preserve">0.500 </v>
      </c>
      <c r="E42" s="16">
        <v>0.5</v>
      </c>
    </row>
    <row r="43" spans="1:5" x14ac:dyDescent="0.15">
      <c r="A43" s="8" t="s">
        <v>44</v>
      </c>
      <c r="B43" s="11" t="s">
        <v>106</v>
      </c>
      <c r="C43" s="12" t="s">
        <v>107</v>
      </c>
      <c r="D43" t="str">
        <f t="shared" si="0"/>
        <v xml:space="preserve">0.529 </v>
      </c>
      <c r="E43" s="16">
        <v>0.52900000000000003</v>
      </c>
    </row>
    <row r="44" spans="1:5" x14ac:dyDescent="0.15">
      <c r="A44" s="8" t="s">
        <v>45</v>
      </c>
      <c r="B44" s="11" t="s">
        <v>102</v>
      </c>
      <c r="C44" s="12" t="s">
        <v>103</v>
      </c>
      <c r="D44" t="str">
        <f t="shared" si="0"/>
        <v xml:space="preserve">0.471 </v>
      </c>
      <c r="E44" s="16">
        <v>0.47099999999999997</v>
      </c>
    </row>
    <row r="45" spans="1:5" x14ac:dyDescent="0.15">
      <c r="A45" s="8" t="s">
        <v>46</v>
      </c>
      <c r="B45" s="11" t="s">
        <v>110</v>
      </c>
      <c r="C45" s="12" t="s">
        <v>111</v>
      </c>
      <c r="D45" t="str">
        <f t="shared" si="0"/>
        <v xml:space="preserve">0.500 </v>
      </c>
      <c r="E45" s="16">
        <v>0.5</v>
      </c>
    </row>
    <row r="46" spans="1:5" x14ac:dyDescent="0.15">
      <c r="A46" s="8" t="s">
        <v>47</v>
      </c>
      <c r="B46" s="11" t="s">
        <v>112</v>
      </c>
      <c r="C46" s="12" t="s">
        <v>113</v>
      </c>
      <c r="D46" t="str">
        <f t="shared" si="0"/>
        <v xml:space="preserve">0.571 </v>
      </c>
      <c r="E46" s="16">
        <v>0.57099999999999995</v>
      </c>
    </row>
    <row r="47" spans="1:5" x14ac:dyDescent="0.15">
      <c r="A47" s="8" t="s">
        <v>48</v>
      </c>
      <c r="B47" s="11" t="s">
        <v>114</v>
      </c>
      <c r="C47" s="12" t="s">
        <v>115</v>
      </c>
      <c r="D47" t="str">
        <f t="shared" si="0"/>
        <v xml:space="preserve">0.714 </v>
      </c>
      <c r="E47" s="16">
        <v>0.71399999999999997</v>
      </c>
    </row>
    <row r="48" spans="1:5" ht="14.25" thickBot="1" x14ac:dyDescent="0.2">
      <c r="A48" s="13" t="s">
        <v>119</v>
      </c>
      <c r="B48" s="14"/>
      <c r="C48" s="15"/>
      <c r="E48" s="17">
        <v>1.1539999999999999</v>
      </c>
    </row>
    <row r="49" spans="1:5" x14ac:dyDescent="0.15">
      <c r="A49" s="8" t="s">
        <v>120</v>
      </c>
      <c r="E49" s="17">
        <v>1.3108</v>
      </c>
    </row>
  </sheetData>
  <mergeCells count="1">
    <mergeCell ref="A1:C1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COAL</vt:lpstr>
      <vt:lpstr>OIL</vt:lpstr>
      <vt:lpstr>ROIL</vt:lpstr>
      <vt:lpstr>NG</vt:lpstr>
      <vt:lpstr>ELEH</vt:lpstr>
      <vt:lpstr>OTHE</vt:lpstr>
      <vt:lpstr>CONVERSION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dzhang</dc:creator>
  <cp:lastModifiedBy>zhangda</cp:lastModifiedBy>
  <dcterms:created xsi:type="dcterms:W3CDTF">2012-02-10T15:02:04Z</dcterms:created>
  <dcterms:modified xsi:type="dcterms:W3CDTF">2013-09-13T12:25:27Z</dcterms:modified>
</cp:coreProperties>
</file>